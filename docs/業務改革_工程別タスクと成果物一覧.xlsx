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工程サマリー" sheetId="2" state="visible" r:id="rId4"/>
    <sheet name="タスク一覧" sheetId="3" state="visible" r:id="rId5"/>
    <sheet name="成果物一覧" sheetId="4" state="visible" r:id="rId6"/>
    <sheet name="型の索引" sheetId="5" state="visible" r:id="rId7"/>
  </sheets>
  <definedNames>
    <definedName function="false" hidden="true" localSheetId="2" name="_xlnm._FilterDatabase" vbProcedure="false">タスク一覧!$A$1:$N$95</definedName>
    <definedName function="false" hidden="true" localSheetId="4" name="_xlnm._FilterDatabase" vbProcedure="false">型の索引!$A$1:$D$138</definedName>
    <definedName function="false" hidden="true" localSheetId="3" name="_xlnm._FilterDatabase" vbProcedure="false">成果物一覧!$A$1:$I$81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<sst xmlns="http://schemas.openxmlformats.org/spreadsheetml/2006/main" count="2573" uniqueCount="1476">
  <si>
    <t xml:space="preserve">業務改革 工程別タスクと成果物一覧</t>
  </si>
  <si>
    <r>
      <rPr>
        <sz val="10"/>
        <rFont val="WenQuanYi Zen Hei"/>
        <family val="2"/>
      </rPr>
      <t xml:space="preserve">小説『平熱』第</t>
    </r>
    <r>
      <rPr>
        <sz val="10"/>
        <rFont val="Arial"/>
        <family val="0"/>
        <charset val="1"/>
      </rPr>
      <t xml:space="preserve">6.1</t>
    </r>
    <r>
      <rPr>
        <sz val="10"/>
        <rFont val="WenQuanYi Zen Hei"/>
        <family val="2"/>
      </rPr>
      <t xml:space="preserve">話・第</t>
    </r>
    <r>
      <rPr>
        <sz val="10"/>
        <rFont val="Arial"/>
        <family val="0"/>
        <charset val="1"/>
      </rPr>
      <t xml:space="preserve">6.2</t>
    </r>
    <r>
      <rPr>
        <sz val="10"/>
        <rFont val="WenQuanYi Zen Hei"/>
        <family val="2"/>
      </rPr>
      <t xml:space="preserve">話（切り替えの夜 上・下）に出てくる型・手法を、業務改革プロジェクトの工程ごとのタスクと成果物に紐づけた一覧。</t>
    </r>
  </si>
  <si>
    <t xml:space="preserve">シート</t>
  </si>
  <si>
    <r>
      <rPr>
        <sz val="10"/>
        <rFont val="WenQuanYi Zen Hei"/>
        <family val="2"/>
      </rPr>
      <t xml:space="preserve">タスク一覧：工程</t>
    </r>
    <r>
      <rPr>
        <sz val="10"/>
        <rFont val="Arial"/>
        <family val="0"/>
        <charset val="1"/>
      </rPr>
      <t xml:space="preserve">×</t>
    </r>
    <r>
      <rPr>
        <sz val="10"/>
        <rFont val="WenQuanYi Zen Hei"/>
        <family val="2"/>
      </rPr>
      <t xml:space="preserve">タスク。各タスクに狙い、使う型（物語での呼び方と正式名称）、主な成果物とその中身、実行する人、決める人、完了の条件、落とし穴、出典（話・章）。</t>
    </r>
  </si>
  <si>
    <t xml:space="preserve">成果物一覧：成果物ごとの目的、主な項目、作る人、承認する人、更新のタイミング、関連する型。関連タスク数は「タスク一覧」から数式で数える。</t>
  </si>
  <si>
    <t xml:space="preserve">型の索引：上下巻の付録に載った型と用語の一覧（物語での呼び方、正式名称、型の中身・いつ使うか）。</t>
  </si>
  <si>
    <t xml:space="preserve">工程サマリー：工程ごとのタスク数と成果物数（数式）、節目と判断者。</t>
  </si>
  <si>
    <t xml:space="preserve">使い方</t>
  </si>
  <si>
    <r>
      <rPr>
        <sz val="10"/>
        <rFont val="Arial"/>
        <family val="0"/>
        <charset val="1"/>
      </rPr>
      <t xml:space="preserve">1. </t>
    </r>
    <r>
      <rPr>
        <sz val="10"/>
        <rFont val="WenQuanYi Zen Hei"/>
        <family val="2"/>
      </rPr>
      <t xml:space="preserve">自分の案件の工程に合わせて「タスク一覧」を上から読み、該当タスクの「完了の条件」を満たしているかを確かめる。</t>
    </r>
  </si>
  <si>
    <r>
      <rPr>
        <sz val="10"/>
        <rFont val="Arial"/>
        <family val="0"/>
        <charset val="1"/>
      </rPr>
      <t xml:space="preserve">2. </t>
    </r>
    <r>
      <rPr>
        <sz val="10"/>
        <rFont val="WenQuanYi Zen Hei"/>
        <family val="2"/>
      </rPr>
      <t xml:space="preserve">満たしていないタスクの「成果物」を、「成果物一覧」の主な項目に沿って作る。</t>
    </r>
  </si>
  <si>
    <r>
      <rPr>
        <sz val="10"/>
        <rFont val="Arial"/>
        <family val="0"/>
        <charset val="1"/>
      </rPr>
      <t xml:space="preserve">3. </t>
    </r>
    <r>
      <rPr>
        <sz val="10"/>
        <rFont val="WenQuanYi Zen Hei"/>
        <family val="2"/>
      </rPr>
      <t xml:space="preserve">議論に詰まったら「型の索引」で軸を探し、枠に入れて話す。枠に入らなければ壊す。</t>
    </r>
  </si>
  <si>
    <t xml:space="preserve">編集してよい列</t>
  </si>
  <si>
    <t xml:space="preserve">「タスク一覧」「成果物一覧」はそのまま案件用に写して、担当や成果物名を書き換えて使う（水色の塗りが工程の色分け）。「工程サマリー」の数式は書き換えない。</t>
  </si>
  <si>
    <r>
      <rPr>
        <sz val="10"/>
        <rFont val="WenQuanYi Zen Hei"/>
        <family val="2"/>
      </rPr>
      <t xml:space="preserve">担当の表記：</t>
    </r>
    <r>
      <rPr>
        <sz val="10"/>
        <rFont val="Arial"/>
        <family val="0"/>
        <charset val="1"/>
      </rPr>
      <t xml:space="preserve">PM</t>
    </r>
    <r>
      <rPr>
        <sz val="10"/>
        <rFont val="WenQuanYi Zen Hei"/>
        <family val="2"/>
      </rPr>
      <t xml:space="preserve">＝プロジェクトマネージャー、</t>
    </r>
    <r>
      <rPr>
        <sz val="10"/>
        <rFont val="Arial"/>
        <family val="0"/>
        <charset val="1"/>
      </rPr>
      <t xml:space="preserve">PMO</t>
    </r>
    <r>
      <rPr>
        <sz val="10"/>
        <rFont val="WenQuanYi Zen Hei"/>
        <family val="2"/>
      </rPr>
      <t xml:space="preserve">＝</t>
    </r>
    <r>
      <rPr>
        <sz val="10"/>
        <rFont val="Arial"/>
        <family val="0"/>
        <charset val="1"/>
      </rPr>
      <t xml:space="preserve">PM </t>
    </r>
    <r>
      <rPr>
        <sz val="10"/>
        <rFont val="WenQuanYi Zen Hei"/>
        <family val="2"/>
      </rPr>
      <t xml:space="preserve">補佐、業務オーナー＝各業務の決定者、ベンダー＝</t>
    </r>
    <r>
      <rPr>
        <sz val="10"/>
        <rFont val="Arial"/>
        <family val="0"/>
        <charset val="1"/>
      </rPr>
      <t xml:space="preserve">SaaS </t>
    </r>
    <r>
      <rPr>
        <sz val="10"/>
        <rFont val="WenQuanYi Zen Hei"/>
        <family val="2"/>
      </rPr>
      <t xml:space="preserve">導入担当、開発＝社内の連携開発者、総務・情報システム＝</t>
    </r>
    <r>
      <rPr>
        <sz val="10"/>
        <rFont val="Arial"/>
        <family val="0"/>
        <charset val="1"/>
      </rPr>
      <t xml:space="preserve">ID</t>
    </r>
    <r>
      <rPr>
        <sz val="10"/>
        <rFont val="WenQuanYi Zen Hei"/>
        <family val="2"/>
      </rPr>
      <t xml:space="preserve">・契約担当。</t>
    </r>
  </si>
  <si>
    <t xml:space="preserve">時期は物語（七月着手、翌年三月稼働）の例。案件に合わせて読み替える。</t>
  </si>
  <si>
    <t xml:space="preserve">出典</t>
  </si>
  <si>
    <r>
      <rPr>
        <sz val="10"/>
        <rFont val="Arial"/>
        <family val="0"/>
        <charset val="1"/>
      </rPr>
      <t xml:space="preserve">scioltoharumi/dx-novels content/ch06.1_…</t>
    </r>
    <r>
      <rPr>
        <sz val="10"/>
        <rFont val="WenQuanYi Zen Hei"/>
        <family val="2"/>
      </rPr>
      <t xml:space="preserve">（上）、</t>
    </r>
    <r>
      <rPr>
        <sz val="10"/>
        <rFont val="Arial"/>
        <family val="0"/>
        <charset val="1"/>
      </rPr>
      <t xml:space="preserve">ch06.2_…</t>
    </r>
    <r>
      <rPr>
        <sz val="10"/>
        <rFont val="WenQuanYi Zen Hei"/>
        <family val="2"/>
      </rPr>
      <t xml:space="preserve">（下）、</t>
    </r>
    <r>
      <rPr>
        <sz val="10"/>
        <rFont val="Arial"/>
        <family val="0"/>
        <charset val="1"/>
      </rPr>
      <t xml:space="preserve">docs/ch06_</t>
    </r>
    <r>
      <rPr>
        <sz val="10"/>
        <rFont val="WenQuanYi Zen Hei"/>
        <family val="2"/>
      </rPr>
      <t xml:space="preserve">業務改革の考え方一覧</t>
    </r>
    <r>
      <rPr>
        <sz val="10"/>
        <rFont val="Arial"/>
        <family val="0"/>
        <charset val="1"/>
      </rPr>
      <t xml:space="preserve">.md</t>
    </r>
    <r>
      <rPr>
        <sz val="10"/>
        <rFont val="WenQuanYi Zen Hei"/>
        <family val="2"/>
      </rPr>
      <t xml:space="preserve">（</t>
    </r>
    <r>
      <rPr>
        <sz val="10"/>
        <rFont val="Arial"/>
        <family val="0"/>
        <charset val="1"/>
      </rPr>
      <t xml:space="preserve">2026-09-22</t>
    </r>
    <r>
      <rPr>
        <sz val="10"/>
        <rFont val="WenQuanYi Zen Hei"/>
        <family val="2"/>
      </rPr>
      <t xml:space="preserve">）</t>
    </r>
  </si>
  <si>
    <t xml:space="preserve">工程</t>
  </si>
  <si>
    <t xml:space="preserve">タスク数</t>
  </si>
  <si>
    <t xml:space="preserve">成果物数</t>
  </si>
  <si>
    <t xml:space="preserve">節目・判断（誰が）</t>
  </si>
  <si>
    <r>
      <rPr>
        <sz val="10"/>
        <rFont val="Arial"/>
        <family val="0"/>
        <charset val="1"/>
      </rPr>
      <t xml:space="preserve">1. </t>
    </r>
    <r>
      <rPr>
        <sz val="10"/>
        <rFont val="WenQuanYi Zen Hei"/>
        <family val="2"/>
      </rPr>
      <t xml:space="preserve">現状分析（</t>
    </r>
    <r>
      <rPr>
        <sz val="10"/>
        <rFont val="Arial"/>
        <family val="0"/>
        <charset val="1"/>
      </rPr>
      <t xml:space="preserve">As-Is</t>
    </r>
    <r>
      <rPr>
        <sz val="10"/>
        <rFont val="WenQuanYi Zen Hei"/>
        <family val="2"/>
      </rPr>
      <t xml:space="preserve">）</t>
    </r>
  </si>
  <si>
    <r>
      <rPr>
        <sz val="10"/>
        <rFont val="Arial"/>
        <family val="0"/>
        <charset val="1"/>
      </rPr>
      <t xml:space="preserve">As-Is </t>
    </r>
    <r>
      <rPr>
        <sz val="10"/>
        <rFont val="WenQuanYi Zen Hei"/>
        <family val="2"/>
      </rPr>
      <t xml:space="preserve">報告を経営者が読み、痛みを数字で言い直せる（</t>
    </r>
    <r>
      <rPr>
        <sz val="10"/>
        <rFont val="Arial"/>
        <family val="0"/>
        <charset val="1"/>
      </rPr>
      <t xml:space="preserve">PM→</t>
    </r>
    <r>
      <rPr>
        <sz val="10"/>
        <rFont val="WenQuanYi Zen Hei"/>
        <family val="2"/>
      </rPr>
      <t xml:space="preserve">社長）</t>
    </r>
  </si>
  <si>
    <r>
      <rPr>
        <sz val="10"/>
        <rFont val="Arial"/>
        <family val="0"/>
        <charset val="1"/>
      </rPr>
      <t xml:space="preserve">2. </t>
    </r>
    <r>
      <rPr>
        <sz val="10"/>
        <rFont val="WenQuanYi Zen Hei"/>
        <family val="2"/>
      </rPr>
      <t xml:space="preserve">構想（</t>
    </r>
    <r>
      <rPr>
        <sz val="10"/>
        <rFont val="Arial"/>
        <family val="0"/>
        <charset val="1"/>
      </rPr>
      <t xml:space="preserve">To-Be</t>
    </r>
    <r>
      <rPr>
        <sz val="10"/>
        <rFont val="WenQuanYi Zen Hei"/>
        <family val="2"/>
      </rPr>
      <t xml:space="preserve">・構想書）</t>
    </r>
  </si>
  <si>
    <t xml:space="preserve">構想書に社長が印を押す。節目①（社長）</t>
  </si>
  <si>
    <r>
      <rPr>
        <sz val="10"/>
        <rFont val="Arial"/>
        <family val="0"/>
        <charset val="1"/>
      </rPr>
      <t xml:space="preserve">3. </t>
    </r>
    <r>
      <rPr>
        <sz val="10"/>
        <rFont val="WenQuanYi Zen Hei"/>
        <family val="2"/>
      </rPr>
      <t xml:space="preserve">要件定義</t>
    </r>
  </si>
  <si>
    <r>
      <rPr>
        <sz val="10"/>
        <rFont val="WenQuanYi Zen Hei"/>
        <family val="2"/>
      </rPr>
      <t xml:space="preserve">要件定義書 </t>
    </r>
    <r>
      <rPr>
        <sz val="10"/>
        <rFont val="Arial"/>
        <family val="0"/>
        <charset val="1"/>
      </rPr>
      <t xml:space="preserve">v1.0 </t>
    </r>
    <r>
      <rPr>
        <sz val="10"/>
        <rFont val="WenQuanYi Zen Hei"/>
        <family val="2"/>
      </rPr>
      <t xml:space="preserve">を凍結し四人が署名、ステコミ承認。節目②（社長）</t>
    </r>
  </si>
  <si>
    <r>
      <rPr>
        <sz val="10"/>
        <rFont val="Arial"/>
        <family val="0"/>
        <charset val="1"/>
      </rPr>
      <t xml:space="preserve">4. </t>
    </r>
    <r>
      <rPr>
        <sz val="10"/>
        <rFont val="WenQuanYi Zen Hei"/>
        <family val="2"/>
      </rPr>
      <t xml:space="preserve">選定・契約</t>
    </r>
  </si>
  <si>
    <t xml:space="preserve">選定と契約をステコミで承認。予算超過は理由付き（社長）</t>
  </si>
  <si>
    <r>
      <rPr>
        <sz val="10"/>
        <rFont val="Arial"/>
        <family val="0"/>
        <charset val="1"/>
      </rPr>
      <t xml:space="preserve">5. </t>
    </r>
    <r>
      <rPr>
        <sz val="10"/>
        <rFont val="WenQuanYi Zen Hei"/>
        <family val="2"/>
      </rPr>
      <t xml:space="preserve">設計</t>
    </r>
  </si>
  <si>
    <r>
      <rPr>
        <sz val="10"/>
        <rFont val="WenQuanYi Zen Hei"/>
        <family val="2"/>
      </rPr>
      <t xml:space="preserve">基本設計書 </t>
    </r>
    <r>
      <rPr>
        <sz val="10"/>
        <rFont val="Arial"/>
        <family val="0"/>
        <charset val="1"/>
      </rPr>
      <t xml:space="preserve">v1.0 </t>
    </r>
    <r>
      <rPr>
        <sz val="10"/>
        <rFont val="WenQuanYi Zen Hei"/>
        <family val="2"/>
      </rPr>
      <t xml:space="preserve">を業務オーナーが承認（業務オーナー）</t>
    </r>
  </si>
  <si>
    <r>
      <rPr>
        <sz val="10"/>
        <rFont val="Arial"/>
        <family val="0"/>
        <charset val="1"/>
      </rPr>
      <t xml:space="preserve">6. </t>
    </r>
    <r>
      <rPr>
        <sz val="10"/>
        <rFont val="WenQuanYi Zen Hei"/>
        <family val="2"/>
      </rPr>
      <t xml:space="preserve">開発・プロジェクト管理</t>
    </r>
  </si>
  <si>
    <r>
      <rPr>
        <sz val="10"/>
        <rFont val="WenQuanYi Zen Hei"/>
        <family val="2"/>
      </rPr>
      <t xml:space="preserve">クリティカルパスの節目を通過条件で判定（</t>
    </r>
    <r>
      <rPr>
        <sz val="10"/>
        <rFont val="Arial"/>
        <family val="0"/>
        <charset val="1"/>
      </rPr>
      <t xml:space="preserve">PM</t>
    </r>
    <r>
      <rPr>
        <sz val="10"/>
        <rFont val="WenQuanYi Zen Hei"/>
        <family val="2"/>
      </rPr>
      <t xml:space="preserve">）</t>
    </r>
  </si>
  <si>
    <r>
      <rPr>
        <sz val="10"/>
        <rFont val="Arial"/>
        <family val="0"/>
        <charset val="1"/>
      </rPr>
      <t xml:space="preserve">7. </t>
    </r>
    <r>
      <rPr>
        <sz val="10"/>
        <rFont val="WenQuanYi Zen Hei"/>
        <family val="2"/>
      </rPr>
      <t xml:space="preserve">テスト</t>
    </r>
  </si>
  <si>
    <r>
      <rPr>
        <sz val="10"/>
        <rFont val="Arial"/>
        <family val="0"/>
        <charset val="1"/>
      </rPr>
      <t xml:space="preserve">UAT </t>
    </r>
    <r>
      <rPr>
        <sz val="10"/>
        <rFont val="WenQuanYi Zen Hei"/>
        <family val="2"/>
      </rPr>
      <t xml:space="preserve">合格に四人が署名。節目③（業務オーナー）</t>
    </r>
  </si>
  <si>
    <r>
      <rPr>
        <sz val="10"/>
        <rFont val="Arial"/>
        <family val="0"/>
        <charset val="1"/>
      </rPr>
      <t xml:space="preserve">8. </t>
    </r>
    <r>
      <rPr>
        <sz val="10"/>
        <rFont val="WenQuanYi Zen Hei"/>
        <family val="2"/>
      </rPr>
      <t xml:space="preserve">移行・切替</t>
    </r>
  </si>
  <si>
    <t xml:space="preserve">カットオーバー判定表に社長が印を押す（社長）</t>
  </si>
  <si>
    <r>
      <rPr>
        <sz val="10"/>
        <rFont val="Arial"/>
        <family val="0"/>
        <charset val="1"/>
      </rPr>
      <t xml:space="preserve">9. </t>
    </r>
    <r>
      <rPr>
        <sz val="10"/>
        <rFont val="WenQuanYi Zen Hei"/>
        <family val="2"/>
      </rPr>
      <t xml:space="preserve">定着・運用</t>
    </r>
  </si>
  <si>
    <t xml:space="preserve">効果測定を経営会議で報告し「平熱」を確かめる（社長）</t>
  </si>
  <si>
    <t xml:space="preserve">合計</t>
  </si>
  <si>
    <r>
      <rPr>
        <i val="true"/>
        <sz val="9"/>
        <rFont val="WenQuanYi Zen Hei"/>
        <family val="2"/>
      </rPr>
      <t xml:space="preserve">注：タスク数・成果物数は各シートの「工程」列を </t>
    </r>
    <r>
      <rPr>
        <i val="true"/>
        <sz val="9"/>
        <rFont val="Arial"/>
        <family val="0"/>
        <charset val="1"/>
      </rPr>
      <t xml:space="preserve">COUNTIF </t>
    </r>
    <r>
      <rPr>
        <i val="true"/>
        <sz val="9"/>
        <rFont val="WenQuanYi Zen Hei"/>
        <family val="2"/>
      </rPr>
      <t xml:space="preserve">で数えた数式。工程名を書き換えるときは三シートで揃えること。</t>
    </r>
  </si>
  <si>
    <t xml:space="preserve">ID</t>
  </si>
  <si>
    <t xml:space="preserve">時期（例）</t>
  </si>
  <si>
    <t xml:space="preserve">タスク</t>
  </si>
  <si>
    <t xml:space="preserve">狙い</t>
  </si>
  <si>
    <t xml:space="preserve">型（物語での呼び方）</t>
  </si>
  <si>
    <t xml:space="preserve">正式名称</t>
  </si>
  <si>
    <t xml:space="preserve">主な成果物</t>
  </si>
  <si>
    <t xml:space="preserve">成果物の中身</t>
  </si>
  <si>
    <t xml:space="preserve">実行する人</t>
  </si>
  <si>
    <t xml:space="preserve">決める人</t>
  </si>
  <si>
    <t xml:space="preserve">完了の条件</t>
  </si>
  <si>
    <t xml:space="preserve">落とし穴</t>
  </si>
  <si>
    <t xml:space="preserve">T01</t>
  </si>
  <si>
    <r>
      <rPr>
        <sz val="10"/>
        <rFont val="Arial"/>
        <family val="0"/>
        <charset val="1"/>
      </rPr>
      <t xml:space="preserve">7</t>
    </r>
    <r>
      <rPr>
        <sz val="10"/>
        <rFont val="WenQuanYi Zen Hei"/>
        <family val="2"/>
      </rPr>
      <t xml:space="preserve">月</t>
    </r>
  </si>
  <si>
    <t xml:space="preserve">改善か改革かを経営者に確かめる</t>
  </si>
  <si>
    <t xml:space="preserve">経営者の言葉（手段）を目的に翻訳し、速くするのか変えるのかを揃える</t>
  </si>
  <si>
    <t xml:space="preserve">速くするか、変えるか</t>
  </si>
  <si>
    <t xml:space="preserve">業務改善と業務改革</t>
  </si>
  <si>
    <t xml:space="preserve">プロジェクト前提メモ</t>
  </si>
  <si>
    <t xml:space="preserve">目的の翻訳（痛み）、改善／改革の別、予算、期限、範囲外</t>
  </si>
  <si>
    <t xml:space="preserve">PM</t>
  </si>
  <si>
    <t xml:space="preserve">社長</t>
  </si>
  <si>
    <t xml:space="preserve">経営者が「改革」と認めた記録があり、予算と期限が数字で書いてある</t>
  </si>
  <si>
    <t xml:space="preserve">改善のつもりの経営者と改革を始めて三か月後にぶつかる</t>
  </si>
  <si>
    <r>
      <rPr>
        <sz val="10"/>
        <rFont val="Arial"/>
        <family val="0"/>
        <charset val="1"/>
      </rPr>
      <t xml:space="preserve">6.1 </t>
    </r>
    <r>
      <rPr>
        <sz val="10"/>
        <rFont val="WenQuanYi Zen Hei"/>
        <family val="2"/>
      </rPr>
      <t xml:space="preserve">第一章</t>
    </r>
  </si>
  <si>
    <t xml:space="preserve">T02</t>
  </si>
  <si>
    <t xml:space="preserve">当たり（仮説）を置いてから数えに行く</t>
  </si>
  <si>
    <t xml:space="preserve">見るものを絞る。外れも記録する</t>
  </si>
  <si>
    <t xml:space="preserve">当たり</t>
  </si>
  <si>
    <t xml:space="preserve">仮説思考</t>
  </si>
  <si>
    <t xml:space="preserve">仮説メモ</t>
  </si>
  <si>
    <t xml:space="preserve">当たり（例：転記が原因）、当たりに関係する数え方、外れたときの記録欄</t>
  </si>
  <si>
    <t xml:space="preserve">当たりが一文で書かれ、数える項目がそれに紐づいている</t>
  </si>
  <si>
    <t xml:space="preserve">当たりが無く、見たもの全部をメモして溺れる</t>
  </si>
  <si>
    <t xml:space="preserve">T03</t>
  </si>
  <si>
    <t xml:space="preserve">現場観察（部署ごとに一日ずつ張り付く）</t>
  </si>
  <si>
    <t xml:space="preserve">手順書でなく実態を、件数・時間・金額で掴む</t>
  </si>
  <si>
    <t xml:space="preserve">現場に張り付いて数える／現場・現物・現実</t>
  </si>
  <si>
    <r>
      <rPr>
        <sz val="10"/>
        <rFont val="WenQuanYi Zen Hei"/>
        <family val="2"/>
      </rPr>
      <t xml:space="preserve">現状業務分析（</t>
    </r>
    <r>
      <rPr>
        <sz val="10"/>
        <rFont val="Arial"/>
        <family val="0"/>
        <charset val="1"/>
      </rPr>
      <t xml:space="preserve">As-Is</t>
    </r>
    <r>
      <rPr>
        <sz val="10"/>
        <rFont val="WenQuanYi Zen Hei"/>
        <family val="2"/>
      </rPr>
      <t xml:space="preserve">）／</t>
    </r>
    <r>
      <rPr>
        <sz val="10"/>
        <rFont val="Arial"/>
        <family val="0"/>
        <charset val="1"/>
      </rPr>
      <t xml:space="preserve">3</t>
    </r>
    <r>
      <rPr>
        <sz val="10"/>
        <rFont val="WenQuanYi Zen Hei"/>
        <family val="2"/>
      </rPr>
      <t xml:space="preserve">現主義</t>
    </r>
  </si>
  <si>
    <t xml:space="preserve">観察記録</t>
  </si>
  <si>
    <r>
      <rPr>
        <sz val="10"/>
        <rFont val="WenQuanYi Zen Hei"/>
        <family val="2"/>
      </rPr>
      <t xml:space="preserve">部署、担当者、作業、件数／日、分／件、使っている道具（</t>
    </r>
    <r>
      <rPr>
        <sz val="10"/>
        <rFont val="Arial"/>
        <family val="0"/>
        <charset val="1"/>
      </rPr>
      <t xml:space="preserve">Excel</t>
    </r>
    <r>
      <rPr>
        <sz val="10"/>
        <rFont val="WenQuanYi Zen Hei"/>
        <family val="2"/>
      </rPr>
      <t xml:space="preserve">・メール）</t>
    </r>
  </si>
  <si>
    <r>
      <rPr>
        <sz val="10"/>
        <rFont val="Arial"/>
        <family val="0"/>
        <charset val="1"/>
      </rPr>
      <t xml:space="preserve">PM</t>
    </r>
    <r>
      <rPr>
        <sz val="10"/>
        <rFont val="WenQuanYi Zen Hei"/>
        <family val="2"/>
      </rPr>
      <t xml:space="preserve">、</t>
    </r>
    <r>
      <rPr>
        <sz val="10"/>
        <rFont val="Arial"/>
        <family val="0"/>
        <charset val="1"/>
      </rPr>
      <t xml:space="preserve">PMO</t>
    </r>
  </si>
  <si>
    <t xml:space="preserve">―</t>
  </si>
  <si>
    <r>
      <rPr>
        <sz val="10"/>
        <rFont val="WenQuanYi Zen Hei"/>
        <family val="2"/>
      </rPr>
      <t xml:space="preserve">三経路</t>
    </r>
    <r>
      <rPr>
        <sz val="10"/>
        <rFont val="Arial"/>
        <family val="0"/>
        <charset val="1"/>
      </rPr>
      <t xml:space="preserve">×</t>
    </r>
    <r>
      <rPr>
        <sz val="10"/>
        <rFont val="WenQuanYi Zen Hei"/>
        <family val="2"/>
      </rPr>
      <t xml:space="preserve">受注・引当・出荷・請求・入金の全工程を、誰かが目で見た記録がある</t>
    </r>
  </si>
  <si>
    <t xml:space="preserve">手順書を写す。手順書に無いことが現場で起きている</t>
  </si>
  <si>
    <t xml:space="preserve">T04</t>
  </si>
  <si>
    <t xml:space="preserve">転記マップを作る</t>
  </si>
  <si>
    <t xml:space="preserve">同じ数字を人が何回写すかを数える。事故の発生源を特定する</t>
  </si>
  <si>
    <t xml:space="preserve">転記マップ</t>
  </si>
  <si>
    <t xml:space="preserve">転記分析（データフロー図）</t>
  </si>
  <si>
    <t xml:space="preserve">一件の数字が通る場所、写す回数、確認者の有無</t>
  </si>
  <si>
    <t xml:space="preserve">PMO</t>
  </si>
  <si>
    <t xml:space="preserve">代表的な一件について写す場所が番号付きで並び、確認者の有無が書いてある</t>
  </si>
  <si>
    <t xml:space="preserve">写す回数を数えず「入力を速くする」施策に飛ぶ</t>
  </si>
  <si>
    <t xml:space="preserve">T05</t>
  </si>
  <si>
    <t xml:space="preserve">リードタイムを作業時間と待ち時間に分ける</t>
  </si>
  <si>
    <t xml:space="preserve">速くすべきは待ち時間だと示す</t>
  </si>
  <si>
    <t xml:space="preserve">二日半のうち二十五分</t>
  </si>
  <si>
    <t xml:space="preserve">リードタイム分析（待ち時間の可視化）</t>
  </si>
  <si>
    <t xml:space="preserve">リードタイム表</t>
  </si>
  <si>
    <t xml:space="preserve">受付から出荷までの工程、各工程の待ち時間と作業時間、合計</t>
  </si>
  <si>
    <t xml:space="preserve">合計と作業時間の差（待ち）が数字で出ている</t>
  </si>
  <si>
    <t xml:space="preserve">手を動かす時間だけ速くして、待ちが残る</t>
  </si>
  <si>
    <t xml:space="preserve">T06</t>
  </si>
  <si>
    <t xml:space="preserve">業務を頻度つきで棚卸しする</t>
  </si>
  <si>
    <t xml:space="preserve">一週間の観察で見えない毎月・毎年を拾う</t>
  </si>
  <si>
    <t xml:space="preserve">頻度つきの一覧</t>
  </si>
  <si>
    <t xml:space="preserve">業務棚卸し</t>
  </si>
  <si>
    <t xml:space="preserve">業務一覧（頻度つき）</t>
  </si>
  <si>
    <t xml:space="preserve">業務、担当、毎日／毎週／毎月／毎年、所要時間、使う帳票</t>
  </si>
  <si>
    <t xml:space="preserve">業務オーナー</t>
  </si>
  <si>
    <t xml:space="preserve">毎月・毎年の業務が入っている。帳票から逆引きして抜けを確かめた</t>
  </si>
  <si>
    <t xml:space="preserve">本人が「仕事」と思っていないこと（返品＝後始末）が書かれない</t>
  </si>
  <si>
    <r>
      <rPr>
        <sz val="10"/>
        <rFont val="Arial"/>
        <family val="0"/>
        <charset val="1"/>
      </rPr>
      <t xml:space="preserve">6.1 </t>
    </r>
    <r>
      <rPr>
        <sz val="10"/>
        <rFont val="WenQuanYi Zen Hei"/>
        <family val="2"/>
      </rPr>
      <t xml:space="preserve">第一章・第三章</t>
    </r>
  </si>
  <si>
    <t xml:space="preserve">T07</t>
  </si>
  <si>
    <t xml:space="preserve">帳票の棚卸しと影の仕事の発見</t>
  </si>
  <si>
    <r>
      <rPr>
        <sz val="10"/>
        <rFont val="WenQuanYi Zen Hei"/>
        <family val="2"/>
      </rPr>
      <t xml:space="preserve">野良 </t>
    </r>
    <r>
      <rPr>
        <sz val="10"/>
        <rFont val="Arial"/>
        <family val="0"/>
        <charset val="1"/>
      </rPr>
      <t xml:space="preserve">Excel</t>
    </r>
    <r>
      <rPr>
        <sz val="10"/>
        <rFont val="WenQuanYi Zen Hei"/>
        <family val="2"/>
      </rPr>
      <t xml:space="preserve">・個人の確認表を見つける</t>
    </r>
  </si>
  <si>
    <t xml:space="preserve">影の仕事</t>
  </si>
  <si>
    <t xml:space="preserve">シャドーワーク（隠れ業務）／帳票棚卸し</t>
  </si>
  <si>
    <t xml:space="preserve">帳票一覧、影の仕事リスト</t>
  </si>
  <si>
    <t xml:space="preserve">帳票名、置き場所、作る人、使う人、手順書にあるか、無いと何が起きるか</t>
  </si>
  <si>
    <t xml:space="preserve">手順書に無い帳票と作業が別の行で挙がっている</t>
  </si>
  <si>
    <t xml:space="preserve">影の仕事を本体の時間に足して、影が影でなくなる（残ると二重管理）</t>
  </si>
  <si>
    <t xml:space="preserve">T08</t>
  </si>
  <si>
    <t xml:space="preserve">業務フロー図（スイムレーン）を描く</t>
  </si>
  <si>
    <t xml:space="preserve">部署の帯を跨ぐ矢印＝転記と待ちの数を見せる</t>
  </si>
  <si>
    <t xml:space="preserve">帯を跨ぐ矢印</t>
  </si>
  <si>
    <t xml:space="preserve">業務フロー図（スイムレーン）</t>
  </si>
  <si>
    <r>
      <rPr>
        <sz val="10"/>
        <rFont val="Arial"/>
        <family val="0"/>
        <charset val="1"/>
      </rPr>
      <t xml:space="preserve">As-Is </t>
    </r>
    <r>
      <rPr>
        <sz val="10"/>
        <rFont val="WenQuanYi Zen Hei"/>
        <family val="2"/>
      </rPr>
      <t xml:space="preserve">業務フロー図</t>
    </r>
  </si>
  <si>
    <r>
      <rPr>
        <sz val="10"/>
        <rFont val="WenQuanYi Zen Hei"/>
        <family val="2"/>
      </rPr>
      <t xml:space="preserve">経路</t>
    </r>
    <r>
      <rPr>
        <sz val="10"/>
        <rFont val="Arial"/>
        <family val="0"/>
        <charset val="1"/>
      </rPr>
      <t xml:space="preserve">×</t>
    </r>
    <r>
      <rPr>
        <sz val="10"/>
        <rFont val="WenQuanYi Zen Hei"/>
        <family val="2"/>
      </rPr>
      <t xml:space="preserve">工程の表、部署ごとの帯、帯を跨ぐ矢印の本数</t>
    </r>
  </si>
  <si>
    <t xml:space="preserve">三経路が同じ記法で描かれ、跨ぐ矢印が数えてある</t>
  </si>
  <si>
    <t xml:space="preserve">経路ごとに別の記法で描いて差分が数えられない</t>
  </si>
  <si>
    <t xml:space="preserve">T09</t>
  </si>
  <si>
    <r>
      <rPr>
        <sz val="10"/>
        <rFont val="WenQuanYi Zen Hei"/>
        <family val="2"/>
      </rPr>
      <t xml:space="preserve">手作業を件数</t>
    </r>
    <r>
      <rPr>
        <sz val="10"/>
        <rFont val="Arial"/>
        <family val="0"/>
        <charset val="1"/>
      </rPr>
      <t xml:space="preserve">×</t>
    </r>
    <r>
      <rPr>
        <sz val="10"/>
        <rFont val="WenQuanYi Zen Hei"/>
        <family val="2"/>
      </rPr>
      <t xml:space="preserve">時間</t>
    </r>
    <r>
      <rPr>
        <sz val="10"/>
        <rFont val="Arial"/>
        <family val="0"/>
        <charset val="1"/>
      </rPr>
      <t xml:space="preserve">×</t>
    </r>
    <r>
      <rPr>
        <sz val="10"/>
        <rFont val="WenQuanYi Zen Hei"/>
        <family val="2"/>
      </rPr>
      <t xml:space="preserve">単価で金額にする</t>
    </r>
  </si>
  <si>
    <t xml:space="preserve">経営会議で通る言葉（金額）に落とす</t>
  </si>
  <si>
    <t xml:space="preserve">定量化の三点セット</t>
  </si>
  <si>
    <t xml:space="preserve">業務量調査</t>
  </si>
  <si>
    <t xml:space="preserve">手作業時間表</t>
  </si>
  <si>
    <t xml:space="preserve">担当ごとの件数、分／件、時間／月、合計、影の仕事（別行）</t>
  </si>
  <si>
    <t xml:space="preserve">合計時間と年額換算が出ている。自己申告は三割少ないことを注記</t>
  </si>
  <si>
    <t xml:space="preserve">声の大きい人の困りごとが大きく見える。同じ物差しで並べる</t>
  </si>
  <si>
    <t xml:space="preserve">T10</t>
  </si>
  <si>
    <t xml:space="preserve">事故を種類で分けて多い順に並べる</t>
  </si>
  <si>
    <t xml:space="preserve">対策を上から打つ</t>
  </si>
  <si>
    <t xml:space="preserve">多い順に並べる</t>
  </si>
  <si>
    <t xml:space="preserve">パレート分析</t>
  </si>
  <si>
    <t xml:space="preserve">事故一覧</t>
  </si>
  <si>
    <t xml:space="preserve">種類、件数、金額、取引先への影響、多い順</t>
  </si>
  <si>
    <t xml:space="preserve">上位一〜二種類で大半を占めることが確かめられている</t>
  </si>
  <si>
    <t xml:space="preserve">全部の事故に同じ力で当たる</t>
  </si>
  <si>
    <t xml:space="preserve">T11</t>
  </si>
  <si>
    <t xml:space="preserve">定常と非定常（月末・年度末）を分けて把握する</t>
  </si>
  <si>
    <t xml:space="preserve">第二週に見えるものが月の全部ではない</t>
  </si>
  <si>
    <r>
      <rPr>
        <sz val="10"/>
        <rFont val="WenQuanYi Zen Hei"/>
        <family val="2"/>
      </rPr>
      <t xml:space="preserve">月末</t>
    </r>
    <r>
      <rPr>
        <sz val="10"/>
        <rFont val="Arial"/>
        <family val="0"/>
        <charset val="1"/>
      </rPr>
      <t xml:space="preserve">×3</t>
    </r>
  </si>
  <si>
    <t xml:space="preserve">定常・非定常の分離</t>
  </si>
  <si>
    <t xml:space="preserve">非定常業務メモ</t>
  </si>
  <si>
    <t xml:space="preserve">月末・年度末・キャンペーン時の件数倍率と担当の稼働</t>
  </si>
  <si>
    <t xml:space="preserve">月末ピークの倍率が数字で書かれ、非機能要件の入力になっている</t>
  </si>
  <si>
    <t xml:space="preserve">平日で試して月末に落ちる</t>
  </si>
  <si>
    <t xml:space="preserve">T12</t>
  </si>
  <si>
    <r>
      <rPr>
        <sz val="10"/>
        <rFont val="Arial"/>
        <family val="0"/>
        <charset val="1"/>
      </rPr>
      <t xml:space="preserve">As-Is </t>
    </r>
    <r>
      <rPr>
        <sz val="10"/>
        <rFont val="WenQuanYi Zen Hei"/>
        <family val="2"/>
      </rPr>
      <t xml:space="preserve">を二枚（数字と事故）にまとめて報告する</t>
    </r>
  </si>
  <si>
    <t xml:space="preserve">「システムを入れる」を「月◯時間と半年◯件の事故をどうするか」に変える</t>
  </si>
  <si>
    <t xml:space="preserve">痛み</t>
  </si>
  <si>
    <t xml:space="preserve">経営課題・業務課題</t>
  </si>
  <si>
    <r>
      <rPr>
        <sz val="10"/>
        <rFont val="Arial"/>
        <family val="0"/>
        <charset val="1"/>
      </rPr>
      <t xml:space="preserve">As-Is </t>
    </r>
    <r>
      <rPr>
        <sz val="10"/>
        <rFont val="WenQuanYi Zen Hei"/>
        <family val="2"/>
      </rPr>
      <t xml:space="preserve">報告（二枚）</t>
    </r>
  </si>
  <si>
    <t xml:space="preserve">手作業時間表、事故一覧、転記マップ、リードタイム、業務一覧の要約</t>
  </si>
  <si>
    <t xml:space="preserve">経営者が痛みを数字で言い直せる</t>
  </si>
  <si>
    <r>
      <rPr>
        <sz val="10"/>
        <rFont val="WenQuanYi Zen Hei"/>
        <family val="2"/>
      </rPr>
      <t xml:space="preserve">手順書の写しを </t>
    </r>
    <r>
      <rPr>
        <sz val="10"/>
        <rFont val="Arial"/>
        <family val="0"/>
        <charset val="1"/>
      </rPr>
      <t xml:space="preserve">As-Is </t>
    </r>
    <r>
      <rPr>
        <sz val="10"/>
        <rFont val="WenQuanYi Zen Hei"/>
        <family val="2"/>
      </rPr>
      <t xml:space="preserve">と呼ぶ</t>
    </r>
  </si>
  <si>
    <t xml:space="preserve">T13</t>
  </si>
  <si>
    <r>
      <rPr>
        <sz val="10"/>
        <rFont val="Arial"/>
        <family val="0"/>
        <charset val="1"/>
      </rPr>
      <t xml:space="preserve">8</t>
    </r>
    <r>
      <rPr>
        <sz val="10"/>
        <rFont val="WenQuanYi Zen Hei"/>
        <family val="2"/>
      </rPr>
      <t xml:space="preserve">月</t>
    </r>
  </si>
  <si>
    <t xml:space="preserve">論点を大論点→中論点に分ける</t>
  </si>
  <si>
    <t xml:space="preserve">業務の話とシステムの話を分ける</t>
  </si>
  <si>
    <t xml:space="preserve">何を解くのか</t>
  </si>
  <si>
    <t xml:space="preserve">論点設計</t>
  </si>
  <si>
    <t xml:space="preserve">論点ツリー</t>
  </si>
  <si>
    <t xml:space="preserve">大論点、中論点、各論点が業務の話かシステムの話か、決める人</t>
  </si>
  <si>
    <t xml:space="preserve">中論点ごとに「業務で決めること」と「システムで決めること」が分かれている</t>
  </si>
  <si>
    <t xml:space="preserve">「三つの経路が一つのシステムに入る」と書いてシステムの話になる</t>
  </si>
  <si>
    <r>
      <rPr>
        <sz val="10"/>
        <rFont val="Arial"/>
        <family val="0"/>
        <charset val="1"/>
      </rPr>
      <t xml:space="preserve">6.1 </t>
    </r>
    <r>
      <rPr>
        <sz val="10"/>
        <rFont val="WenQuanYi Zen Hei"/>
        <family val="2"/>
      </rPr>
      <t xml:space="preserve">第二章</t>
    </r>
  </si>
  <si>
    <t xml:space="preserve">T14</t>
  </si>
  <si>
    <t xml:space="preserve">あるべき姿→問題→課題→原因→真因を書く</t>
  </si>
  <si>
    <t xml:space="preserve">問題（差）と課題（やること）を混ぜない</t>
  </si>
  <si>
    <t xml:space="preserve">五つの段</t>
  </si>
  <si>
    <t xml:space="preserve">課題解決の五階層</t>
  </si>
  <si>
    <t xml:space="preserve">課題構造シート</t>
  </si>
  <si>
    <t xml:space="preserve">あるべき姿、問題、課題、原因、真因の五行</t>
  </si>
  <si>
    <t xml:space="preserve">真因が「人がいなかった」のような構造で書かれ、対策が原因と真因の両方にある</t>
  </si>
  <si>
    <t xml:space="preserve">構想書が愚痴になる。真因を放置して四つ目の経路で再発</t>
  </si>
  <si>
    <t xml:space="preserve">T15</t>
  </si>
  <si>
    <t xml:space="preserve">原因を人・プロセス・ルール・システムに分ける</t>
  </si>
  <si>
    <t xml:space="preserve">システムで直せるのは一つだと示す</t>
  </si>
  <si>
    <t xml:space="preserve">四つの箱</t>
  </si>
  <si>
    <t xml:space="preserve">人・プロセス・ルール・システム</t>
  </si>
  <si>
    <t xml:space="preserve">原因分類表</t>
  </si>
  <si>
    <t xml:space="preserve">事故ごとの原因の在処（四分類）、直し方（業務／システム）</t>
  </si>
  <si>
    <t xml:space="preserve">事故の原因が四つの箱のどれかに置かれ、業務で直す三つの手が決まっている</t>
  </si>
  <si>
    <t xml:space="preserve">全部をシステムで直そうとする</t>
  </si>
  <si>
    <t xml:space="preserve">T16</t>
  </si>
  <si>
    <t xml:space="preserve">業務の変え方を業務オーナーと決める</t>
  </si>
  <si>
    <t xml:space="preserve">システムより先に業務をどこまで変えるかを決める</t>
  </si>
  <si>
    <t xml:space="preserve">あるべき姿</t>
  </si>
  <si>
    <t xml:space="preserve">To-Be</t>
  </si>
  <si>
    <r>
      <rPr>
        <sz val="10"/>
        <rFont val="Arial"/>
        <family val="0"/>
        <charset val="1"/>
      </rPr>
      <t xml:space="preserve">To-Be </t>
    </r>
    <r>
      <rPr>
        <sz val="10"/>
        <rFont val="WenQuanYi Zen Hei"/>
        <family val="2"/>
      </rPr>
      <t xml:space="preserve">業務方針</t>
    </r>
  </si>
  <si>
    <t xml:space="preserve">経路ごとの入口・引当・請求の変え方、残す業務、やめる業務</t>
  </si>
  <si>
    <t xml:space="preserve">各経路について「変える／残す」が業務オーナーの名前で決まっている</t>
  </si>
  <si>
    <t xml:space="preserve">システム屋が業務を決める</t>
  </si>
  <si>
    <t xml:space="preserve">T17</t>
  </si>
  <si>
    <r>
      <rPr>
        <sz val="10"/>
        <rFont val="WenQuanYi Zen Hei"/>
        <family val="2"/>
      </rPr>
      <t xml:space="preserve">工程を足す前に減らす（</t>
    </r>
    <r>
      <rPr>
        <sz val="10"/>
        <rFont val="Arial"/>
        <family val="0"/>
        <charset val="1"/>
      </rPr>
      <t xml:space="preserve">ECRS</t>
    </r>
    <r>
      <rPr>
        <sz val="10"/>
        <rFont val="WenQuanYi Zen Hei"/>
        <family val="2"/>
      </rPr>
      <t xml:space="preserve">）</t>
    </r>
  </si>
  <si>
    <t xml:space="preserve">なくす→まとめる→順番を変える→簡単にする</t>
  </si>
  <si>
    <t xml:space="preserve">足す前に減らす／七つのムダ</t>
  </si>
  <si>
    <r>
      <rPr>
        <sz val="10"/>
        <rFont val="Arial"/>
        <family val="0"/>
        <charset val="1"/>
      </rPr>
      <t xml:space="preserve">ECRS</t>
    </r>
    <r>
      <rPr>
        <sz val="10"/>
        <rFont val="WenQuanYi Zen Hei"/>
        <family val="2"/>
      </rPr>
      <t xml:space="preserve">／リーン（七つのムダ）</t>
    </r>
  </si>
  <si>
    <t xml:space="preserve">なくせる工程、まとめる工程、順番を変える工程、簡単にする工程、七つのムダの当てはめ</t>
  </si>
  <si>
    <t xml:space="preserve">足す工程より減らす工程が先に検討された記録がある</t>
  </si>
  <si>
    <t xml:space="preserve">確認工程を足すだけで、転記の工程が残る</t>
  </si>
  <si>
    <t xml:space="preserve">T18</t>
  </si>
  <si>
    <t xml:space="preserve">承認を「止めるため」に設計する</t>
  </si>
  <si>
    <t xml:space="preserve">全件承認は承認者が一番遅い工程になる</t>
  </si>
  <si>
    <t xml:space="preserve">止めるための承認／一番遅い工程</t>
  </si>
  <si>
    <r>
      <rPr>
        <sz val="10"/>
        <rFont val="WenQuanYi Zen Hei"/>
        <family val="2"/>
      </rPr>
      <t xml:space="preserve">承認設計／制約理論（</t>
    </r>
    <r>
      <rPr>
        <sz val="10"/>
        <rFont val="Arial"/>
        <family val="0"/>
        <charset val="1"/>
      </rPr>
      <t xml:space="preserve">TOC</t>
    </r>
    <r>
      <rPr>
        <sz val="10"/>
        <rFont val="WenQuanYi Zen Hei"/>
        <family val="2"/>
      </rPr>
      <t xml:space="preserve">）</t>
    </r>
  </si>
  <si>
    <t xml:space="preserve">業務ルール（承認条件）</t>
  </si>
  <si>
    <t xml:space="preserve">承認が要る条件（数量・初回・単価差）、承認者、通知</t>
  </si>
  <si>
    <t xml:space="preserve">承認条件が表で決まり、全件承認にした場合は「ルールで決めた判断」として記録</t>
  </si>
  <si>
    <t xml:space="preserve">承認が「見るため」になり、ボトルネックになる</t>
  </si>
  <si>
    <t xml:space="preserve">T19</t>
  </si>
  <si>
    <t xml:space="preserve">業務を判断・処理・例外に仕分ける</t>
  </si>
  <si>
    <t xml:space="preserve">消えるのは処理。例外は減らすか型にする</t>
  </si>
  <si>
    <t xml:space="preserve">判断・処理・例外</t>
  </si>
  <si>
    <t xml:space="preserve">業務の三分類</t>
  </si>
  <si>
    <t xml:space="preserve">業務ごとの分類、処理は自動化、判断は人、例外は件数と扱い</t>
  </si>
  <si>
    <t xml:space="preserve">例外の件数が書かれ、月一件の例外は手でやると決まっている</t>
  </si>
  <si>
    <t xml:space="preserve">例外を全部システムに入れて要件が倍になる</t>
  </si>
  <si>
    <t xml:space="preserve">T20</t>
  </si>
  <si>
    <t xml:space="preserve">前提を一覧にし、崩れたときの手を書く</t>
  </si>
  <si>
    <t xml:space="preserve">検証していない土台を見える化する</t>
  </si>
  <si>
    <t xml:space="preserve">前提の表</t>
  </si>
  <si>
    <t xml:space="preserve">前提条件ログ</t>
  </si>
  <si>
    <t xml:space="preserve">前提ログ</t>
  </si>
  <si>
    <t xml:space="preserve">前提、検証状況、崩れたときの手、確認期限</t>
  </si>
  <si>
    <r>
      <rPr>
        <sz val="10"/>
        <rFont val="WenQuanYi Zen Hei"/>
        <family val="2"/>
      </rPr>
      <t xml:space="preserve">主要な前提（相手先の </t>
    </r>
    <r>
      <rPr>
        <sz val="10"/>
        <rFont val="Arial"/>
        <family val="0"/>
        <charset val="1"/>
      </rPr>
      <t xml:space="preserve">API</t>
    </r>
    <r>
      <rPr>
        <sz val="10"/>
        <rFont val="WenQuanYi Zen Hei"/>
        <family val="2"/>
      </rPr>
      <t xml:space="preserve">、テスト環境、人の割当）に手が書いてある</t>
    </r>
  </si>
  <si>
    <t xml:space="preserve">「できます」を検証せず設計を始める</t>
  </si>
  <si>
    <t xml:space="preserve">T21</t>
  </si>
  <si>
    <r>
      <rPr>
        <sz val="10"/>
        <rFont val="WenQuanYi Zen Hei"/>
        <family val="2"/>
      </rPr>
      <t xml:space="preserve">ステークホルダーを影響</t>
    </r>
    <r>
      <rPr>
        <sz val="10"/>
        <rFont val="Arial"/>
        <family val="0"/>
        <charset val="1"/>
      </rPr>
      <t xml:space="preserve">×</t>
    </r>
    <r>
      <rPr>
        <sz val="10"/>
        <rFont val="WenQuanYi Zen Hei"/>
        <family val="2"/>
      </rPr>
      <t xml:space="preserve">関心で置く</t>
    </r>
  </si>
  <si>
    <t xml:space="preserve">影響が大きく関心が低い人が後で止める</t>
  </si>
  <si>
    <r>
      <rPr>
        <sz val="10"/>
        <rFont val="WenQuanYi Zen Hei"/>
        <family val="2"/>
      </rPr>
      <t xml:space="preserve">影響</t>
    </r>
    <r>
      <rPr>
        <sz val="10"/>
        <rFont val="Arial"/>
        <family val="0"/>
        <charset val="1"/>
      </rPr>
      <t xml:space="preserve">×</t>
    </r>
    <r>
      <rPr>
        <sz val="10"/>
        <rFont val="WenQuanYi Zen Hei"/>
        <family val="2"/>
      </rPr>
      <t xml:space="preserve">関心</t>
    </r>
  </si>
  <si>
    <t xml:space="preserve">ステークホルダー分析</t>
  </si>
  <si>
    <t xml:space="preserve">ステークホルダー表</t>
  </si>
  <si>
    <t xml:space="preserve">関係者、影響、関心、先に打つ手（説明する人・時期）</t>
  </si>
  <si>
    <t xml:space="preserve">右上（影響大・関心低）の人に、誰がいつ話すかが決まっている</t>
  </si>
  <si>
    <t xml:space="preserve">関心が低い＝話していないだけ、に気づかない</t>
  </si>
  <si>
    <t xml:space="preserve">T22</t>
  </si>
  <si>
    <t xml:space="preserve">リスク登録簿を作る（課題と分ける）</t>
  </si>
  <si>
    <t xml:space="preserve">起きていないことの表。見立ての持ち主を書く</t>
  </si>
  <si>
    <t xml:space="preserve">起きていないことの表</t>
  </si>
  <si>
    <t xml:space="preserve">リスク登録簿</t>
  </si>
  <si>
    <t xml:space="preserve">リスク、確率、影響、先に打つ手、見立ての持ち主、見直し時期</t>
  </si>
  <si>
    <r>
      <rPr>
        <sz val="10"/>
        <rFont val="WenQuanYi Zen Hei"/>
        <family val="2"/>
      </rPr>
      <t xml:space="preserve">確率</t>
    </r>
    <r>
      <rPr>
        <sz val="10"/>
        <rFont val="Arial"/>
        <family val="0"/>
        <charset val="1"/>
      </rPr>
      <t xml:space="preserve">×</t>
    </r>
    <r>
      <rPr>
        <sz val="10"/>
        <rFont val="WenQuanYi Zen Hei"/>
        <family val="2"/>
      </rPr>
      <t xml:space="preserve">影響で並び、「誰の見立てか」が書いてある</t>
    </r>
  </si>
  <si>
    <t xml:space="preserve">導入先の忠告を自分の見立てで打ち消す</t>
  </si>
  <si>
    <r>
      <rPr>
        <sz val="10"/>
        <rFont val="Arial"/>
        <family val="0"/>
        <charset val="1"/>
      </rPr>
      <t xml:space="preserve">6.1 </t>
    </r>
    <r>
      <rPr>
        <sz val="10"/>
        <rFont val="WenQuanYi Zen Hei"/>
        <family val="2"/>
      </rPr>
      <t xml:space="preserve">第二章・第四章</t>
    </r>
  </si>
  <si>
    <t xml:space="preserve">T23</t>
  </si>
  <si>
    <t xml:space="preserve">すぐ効く手（クイックウィン）を先に打つ</t>
  </si>
  <si>
    <t xml:space="preserve">現場の信用を買う。消えた痛みはシステム効果から引く</t>
  </si>
  <si>
    <t xml:space="preserve">件名のルール</t>
  </si>
  <si>
    <t xml:space="preserve">クイックウィン</t>
  </si>
  <si>
    <t xml:space="preserve">クイックウィン記録</t>
  </si>
  <si>
    <t xml:space="preserve">打った手、効果、システム効果から引く分</t>
  </si>
  <si>
    <t xml:space="preserve">一つ以上の手が翌週から動き、効果が記録されている</t>
  </si>
  <si>
    <t xml:space="preserve">「システム要らないじゃないか」を恐れて先に打たない</t>
  </si>
  <si>
    <t xml:space="preserve">T24</t>
  </si>
  <si>
    <t xml:space="preserve">投資対効果を削減・回避・創出で書く</t>
  </si>
  <si>
    <t xml:space="preserve">金額にできるものだけ金額にし、回収期間を出す</t>
  </si>
  <si>
    <t xml:space="preserve">削減・回避・創出</t>
  </si>
  <si>
    <t xml:space="preserve">投資対効果（ビジネスケース）</t>
  </si>
  <si>
    <t xml:space="preserve">ビジネスケース</t>
  </si>
  <si>
    <t xml:space="preserve">削減、回避、創出、初期費用、運用費用、回収期間、金額にしないものの明記</t>
  </si>
  <si>
    <t xml:space="preserve">回収期間が計算され、金額にしない効果は「しない」と書いてある</t>
  </si>
  <si>
    <t xml:space="preserve">「業務が楽になる」としか書かない／関係を金額にして根拠を聞かれる</t>
  </si>
  <si>
    <t xml:space="preserve">T25</t>
  </si>
  <si>
    <r>
      <rPr>
        <sz val="10"/>
        <rFont val="WenQuanYi Zen Hei"/>
        <family val="2"/>
      </rPr>
      <t xml:space="preserve">施策を効果</t>
    </r>
    <r>
      <rPr>
        <sz val="10"/>
        <rFont val="Arial"/>
        <family val="0"/>
        <charset val="1"/>
      </rPr>
      <t xml:space="preserve">×</t>
    </r>
    <r>
      <rPr>
        <sz val="10"/>
        <rFont val="WenQuanYi Zen Hei"/>
        <family val="2"/>
      </rPr>
      <t xml:space="preserve">難易度で並べる</t>
    </r>
  </si>
  <si>
    <t xml:space="preserve">左上から着手。右下はやらない</t>
  </si>
  <si>
    <t xml:space="preserve">効きと難しさ</t>
  </si>
  <si>
    <r>
      <rPr>
        <sz val="10"/>
        <rFont val="WenQuanYi Zen Hei"/>
        <family val="2"/>
      </rPr>
      <t xml:space="preserve">効果</t>
    </r>
    <r>
      <rPr>
        <sz val="10"/>
        <rFont val="Arial"/>
        <family val="0"/>
        <charset val="1"/>
      </rPr>
      <t xml:space="preserve">×</t>
    </r>
    <r>
      <rPr>
        <sz val="10"/>
        <rFont val="WenQuanYi Zen Hei"/>
        <family val="2"/>
      </rPr>
      <t xml:space="preserve">実現難易度マトリクス</t>
    </r>
  </si>
  <si>
    <t xml:space="preserve">施策優先順位表</t>
  </si>
  <si>
    <t xml:space="preserve">施策、効果の大小、難易度、着手順、やらないもの</t>
  </si>
  <si>
    <t xml:space="preserve">着手順と「やらないこと」がこの表から導かれている</t>
  </si>
  <si>
    <t xml:space="preserve">効きの小さい難しい施策に先に着手</t>
  </si>
  <si>
    <t xml:space="preserve">T26</t>
  </si>
  <si>
    <r>
      <rPr>
        <sz val="10"/>
        <rFont val="Arial"/>
        <family val="0"/>
        <charset val="1"/>
      </rPr>
      <t xml:space="preserve">KPI </t>
    </r>
    <r>
      <rPr>
        <sz val="10"/>
        <rFont val="WenQuanYi Zen Hei"/>
        <family val="2"/>
      </rPr>
      <t xml:space="preserve">を木にする</t>
    </r>
  </si>
  <si>
    <t xml:space="preserve">何が効いたかを枝で測る</t>
  </si>
  <si>
    <t xml:space="preserve">指標の木</t>
  </si>
  <si>
    <r>
      <rPr>
        <sz val="10"/>
        <rFont val="Arial"/>
        <family val="0"/>
        <charset val="1"/>
      </rPr>
      <t xml:space="preserve">KGI</t>
    </r>
    <r>
      <rPr>
        <sz val="10"/>
        <rFont val="WenQuanYi Zen Hei"/>
        <family val="2"/>
      </rPr>
      <t xml:space="preserve">／</t>
    </r>
    <r>
      <rPr>
        <sz val="10"/>
        <rFont val="Arial"/>
        <family val="0"/>
        <charset val="1"/>
      </rPr>
      <t xml:space="preserve">KPI </t>
    </r>
    <r>
      <rPr>
        <sz val="10"/>
        <rFont val="WenQuanYi Zen Hei"/>
        <family val="2"/>
      </rPr>
      <t xml:space="preserve">ツリー</t>
    </r>
  </si>
  <si>
    <r>
      <rPr>
        <sz val="10"/>
        <rFont val="Arial"/>
        <family val="0"/>
        <charset val="1"/>
      </rPr>
      <t xml:space="preserve">KPI </t>
    </r>
    <r>
      <rPr>
        <sz val="10"/>
        <rFont val="WenQuanYi Zen Hei"/>
        <family val="2"/>
      </rPr>
      <t xml:space="preserve">ツリー</t>
    </r>
  </si>
  <si>
    <t xml:space="preserve">最上位指標、枝の指標、業務の変え方との対応、測る人と時期</t>
  </si>
  <si>
    <t xml:space="preserve">枝の指標が業務の変え方と一対一になっている</t>
  </si>
  <si>
    <t xml:space="preserve">最上位だけで効果が語れない</t>
  </si>
  <si>
    <t xml:space="preserve">T27</t>
  </si>
  <si>
    <r>
      <rPr>
        <sz val="10"/>
        <rFont val="WenQuanYi Zen Hei"/>
        <family val="2"/>
      </rPr>
      <t xml:space="preserve">体制・</t>
    </r>
    <r>
      <rPr>
        <sz val="10"/>
        <rFont val="Arial"/>
        <family val="0"/>
        <charset val="1"/>
      </rPr>
      <t xml:space="preserve">RACI</t>
    </r>
    <r>
      <rPr>
        <sz val="10"/>
        <rFont val="WenQuanYi Zen Hei"/>
        <family val="2"/>
      </rPr>
      <t xml:space="preserve">・プロセスオーナー・エスカレーションを決める</t>
    </r>
  </si>
  <si>
    <t xml:space="preserve">決める人が空欄の仕事を無くす</t>
  </si>
  <si>
    <t xml:space="preserve">誰が決めるか／全体を持つ人／止まったときの上げ方</t>
  </si>
  <si>
    <r>
      <rPr>
        <sz val="10"/>
        <rFont val="Arial"/>
        <family val="0"/>
        <charset val="1"/>
      </rPr>
      <t xml:space="preserve">RACI</t>
    </r>
    <r>
      <rPr>
        <sz val="10"/>
        <rFont val="WenQuanYi Zen Hei"/>
        <family val="2"/>
      </rPr>
      <t xml:space="preserve">／プロセスオーナー／エスカレーションルール</t>
    </r>
  </si>
  <si>
    <r>
      <rPr>
        <sz val="10"/>
        <rFont val="WenQuanYi Zen Hei"/>
        <family val="2"/>
      </rPr>
      <t xml:space="preserve">体制図・</t>
    </r>
    <r>
      <rPr>
        <sz val="10"/>
        <rFont val="Arial"/>
        <family val="0"/>
        <charset val="1"/>
      </rPr>
      <t xml:space="preserve">RACI</t>
    </r>
  </si>
  <si>
    <r>
      <rPr>
        <sz val="10"/>
        <rFont val="WenQuanYi Zen Hei"/>
        <family val="2"/>
      </rPr>
      <t xml:space="preserve">スポンサー、</t>
    </r>
    <r>
      <rPr>
        <sz val="10"/>
        <rFont val="Arial"/>
        <family val="0"/>
        <charset val="1"/>
      </rPr>
      <t xml:space="preserve">PM</t>
    </r>
    <r>
      <rPr>
        <sz val="10"/>
        <rFont val="WenQuanYi Zen Hei"/>
        <family val="2"/>
      </rPr>
      <t xml:space="preserve">、</t>
    </r>
    <r>
      <rPr>
        <sz val="10"/>
        <rFont val="Arial"/>
        <family val="0"/>
        <charset val="1"/>
      </rPr>
      <t xml:space="preserve">PMO</t>
    </r>
    <r>
      <rPr>
        <sz val="10"/>
        <rFont val="WenQuanYi Zen Hei"/>
        <family val="2"/>
      </rPr>
      <t xml:space="preserve">、業務オーナー、技術、経路横断の責任者、</t>
    </r>
    <r>
      <rPr>
        <sz val="10"/>
        <rFont val="Arial"/>
        <family val="0"/>
        <charset val="1"/>
      </rPr>
      <t xml:space="preserve">RACI </t>
    </r>
    <r>
      <rPr>
        <sz val="10"/>
        <rFont val="WenQuanYi Zen Hei"/>
        <family val="2"/>
      </rPr>
      <t xml:space="preserve">表、上げる基準</t>
    </r>
  </si>
  <si>
    <r>
      <rPr>
        <sz val="10"/>
        <rFont val="WenQuanYi Zen Hei"/>
        <family val="2"/>
      </rPr>
      <t xml:space="preserve">業務の変え方の </t>
    </r>
    <r>
      <rPr>
        <sz val="10"/>
        <rFont val="Arial"/>
        <family val="0"/>
        <charset val="1"/>
      </rPr>
      <t xml:space="preserve">A </t>
    </r>
    <r>
      <rPr>
        <sz val="10"/>
        <rFont val="WenQuanYi Zen Hei"/>
        <family val="2"/>
      </rPr>
      <t xml:space="preserve">が業務オーナーになっている。上げる基準に日数がある</t>
    </r>
  </si>
  <si>
    <t xml:space="preserve">体制図に名前が並ぶだけで誰が決めるか分からない／部門最適</t>
  </si>
  <si>
    <t xml:space="preserve">T28</t>
  </si>
  <si>
    <t xml:space="preserve">やらないこと・節目・撤退基準を決める</t>
  </si>
  <si>
    <t xml:space="preserve">後で断る盾と、やめる判断の場を先に置く</t>
  </si>
  <si>
    <t xml:space="preserve">やらないこと／節目</t>
  </si>
  <si>
    <t xml:space="preserve">スコープ定義／ステージゲート・撤退基準</t>
  </si>
  <si>
    <r>
      <rPr>
        <sz val="10"/>
        <rFont val="WenQuanYi Zen Hei"/>
        <family val="2"/>
      </rPr>
      <t xml:space="preserve">スコープ定義（</t>
    </r>
    <r>
      <rPr>
        <sz val="10"/>
        <rFont val="Arial"/>
        <family val="0"/>
        <charset val="1"/>
      </rPr>
      <t xml:space="preserve">In/Out</t>
    </r>
    <r>
      <rPr>
        <sz val="10"/>
        <rFont val="WenQuanYi Zen Hei"/>
        <family val="2"/>
      </rPr>
      <t xml:space="preserve">）</t>
    </r>
  </si>
  <si>
    <r>
      <rPr>
        <sz val="10"/>
        <rFont val="WenQuanYi Zen Hei"/>
        <family val="2"/>
      </rPr>
      <t xml:space="preserve">やらないこと、節目（要件定義後・選定後・</t>
    </r>
    <r>
      <rPr>
        <sz val="10"/>
        <rFont val="Arial"/>
        <family val="0"/>
        <charset val="1"/>
      </rPr>
      <t xml:space="preserve">UAT </t>
    </r>
    <r>
      <rPr>
        <sz val="10"/>
        <rFont val="WenQuanYi Zen Hei"/>
        <family val="2"/>
      </rPr>
      <t xml:space="preserve">後）、やめる基準</t>
    </r>
  </si>
  <si>
    <t xml:space="preserve">業務オーナーが文句を出し切ったあとで社長が印を押している</t>
  </si>
  <si>
    <t xml:space="preserve">途中で全部が入ってくる／やめる基準が無く続ける</t>
  </si>
  <si>
    <t xml:space="preserve">T29</t>
  </si>
  <si>
    <t xml:space="preserve">予備費の扱いを決める</t>
  </si>
  <si>
    <t xml:space="preserve">無いなら無いと書き、決める人を決める</t>
  </si>
  <si>
    <t xml:space="preserve">予備費</t>
  </si>
  <si>
    <t xml:space="preserve">コンティンジェンシー</t>
  </si>
  <si>
    <t xml:space="preserve">構想書（一枚）</t>
  </si>
  <si>
    <t xml:space="preserve">予算、予備費の有無、予備費が無い場合の判断者</t>
  </si>
  <si>
    <t xml:space="preserve">予備費の有無と判断者が一行で書いてある</t>
  </si>
  <si>
    <t xml:space="preserve">想定外の費用が出たとき誰も決められない</t>
  </si>
  <si>
    <t xml:space="preserve">T30</t>
  </si>
  <si>
    <t xml:space="preserve">誰の仕事がどう変わるかを人の名前で書く</t>
  </si>
  <si>
    <t xml:space="preserve">減る人と増える人を見える化し、増える人に先に話す</t>
  </si>
  <si>
    <t xml:space="preserve">誰の仕事が変わるか</t>
  </si>
  <si>
    <t xml:space="preserve">チェンジ・インパクト分析</t>
  </si>
  <si>
    <t xml:space="preserve">チェンジ・インパクト表</t>
  </si>
  <si>
    <t xml:space="preserve">人、消える仕事、増える仕事、新しく覚えること、伝えた日</t>
  </si>
  <si>
    <t xml:space="preserve">一番仕事が変わる人（現場のパート）に見せた記録がある</t>
  </si>
  <si>
    <t xml:space="preserve">「営業事務の負荷が減る」と書いて人が見えない</t>
  </si>
  <si>
    <t xml:space="preserve">T31</t>
  </si>
  <si>
    <t xml:space="preserve">構想書を一枚にまとめる（空・雨・傘）</t>
  </si>
  <si>
    <t xml:space="preserve">事実・解釈・行動を別の行に</t>
  </si>
  <si>
    <t xml:space="preserve">部屋の数／空・雨・傘</t>
  </si>
  <si>
    <t xml:space="preserve">構想書／事実・解釈・行動</t>
  </si>
  <si>
    <r>
      <rPr>
        <sz val="10"/>
        <rFont val="WenQuanYi Zen Hei"/>
        <family val="2"/>
      </rPr>
      <t xml:space="preserve">目的、業務の変え方、システムへの要求、</t>
    </r>
    <r>
      <rPr>
        <sz val="10"/>
        <rFont val="Arial"/>
        <family val="0"/>
        <charset val="1"/>
      </rPr>
      <t xml:space="preserve">KPI</t>
    </r>
    <r>
      <rPr>
        <sz val="10"/>
        <rFont val="WenQuanYi Zen Hei"/>
        <family val="2"/>
      </rPr>
      <t xml:space="preserve">、体制、予算・期限、やらないこと、効果と費用、前提とリスク、節目、</t>
    </r>
    <r>
      <rPr>
        <sz val="10"/>
        <rFont val="Arial"/>
        <family val="0"/>
        <charset val="1"/>
      </rPr>
      <t xml:space="preserve">RACI</t>
    </r>
  </si>
  <si>
    <t xml:space="preserve">一枚で、社長が空（事実）だけ疑えば済む構造になっている</t>
  </si>
  <si>
    <t xml:space="preserve">事実と意見とやることが同じ段落に混ざる</t>
  </si>
  <si>
    <t xml:space="preserve">T32</t>
  </si>
  <si>
    <t xml:space="preserve">業務オーナーに文句を出し切らせてから社長承認</t>
  </si>
  <si>
    <t xml:space="preserve">断るのは構想書、という状態を作る</t>
  </si>
  <si>
    <t xml:space="preserve">印を押す前に文句</t>
  </si>
  <si>
    <t xml:space="preserve">構想書の承認</t>
  </si>
  <si>
    <t xml:space="preserve">業務オーナー四人の確認記録、社長の印</t>
  </si>
  <si>
    <t xml:space="preserve">四人と個別に話した記録があり、その後に印が押されている</t>
  </si>
  <si>
    <t xml:space="preserve">印を押してから文句が出る</t>
  </si>
  <si>
    <t xml:space="preserve">T33</t>
  </si>
  <si>
    <t xml:space="preserve">ステアリングコミッティを設置する</t>
  </si>
  <si>
    <t xml:space="preserve">月次で判断する場。報告の場にしない</t>
  </si>
  <si>
    <t xml:space="preserve">社長のいる会議</t>
  </si>
  <si>
    <t xml:space="preserve">ステアリングコミッティ</t>
  </si>
  <si>
    <t xml:space="preserve">ステコミ運営要領</t>
  </si>
  <si>
    <t xml:space="preserve">出席者、頻度、決めること、変更要求の承認、信号の色</t>
  </si>
  <si>
    <t xml:space="preserve">「決めることが無い月は開かない」が決まっている</t>
  </si>
  <si>
    <t xml:space="preserve">報告だけの会になる</t>
  </si>
  <si>
    <t xml:space="preserve">T34</t>
  </si>
  <si>
    <r>
      <rPr>
        <sz val="10"/>
        <rFont val="Arial"/>
        <family val="0"/>
        <charset val="1"/>
      </rPr>
      <t xml:space="preserve">9</t>
    </r>
    <r>
      <rPr>
        <sz val="10"/>
        <rFont val="WenQuanYi Zen Hei"/>
        <family val="2"/>
      </rPr>
      <t xml:space="preserve">〜</t>
    </r>
    <r>
      <rPr>
        <sz val="10"/>
        <rFont val="Arial"/>
        <family val="0"/>
        <charset val="1"/>
      </rPr>
      <t xml:space="preserve">10</t>
    </r>
    <r>
      <rPr>
        <sz val="10"/>
        <rFont val="WenQuanYi Zen Hei"/>
        <family val="2"/>
      </rPr>
      <t xml:space="preserve">月</t>
    </r>
  </si>
  <si>
    <t xml:space="preserve">ワークショップを設計する（出す回・絞る回）</t>
  </si>
  <si>
    <t xml:space="preserve">目的・出る人・終わったときの姿を先に送る</t>
  </si>
  <si>
    <t xml:space="preserve">出す回と絞る回</t>
  </si>
  <si>
    <t xml:space="preserve">ワークショップ設計（発散と収束）</t>
  </si>
  <si>
    <t xml:space="preserve">会議案内（一枚）</t>
  </si>
  <si>
    <t xml:space="preserve">目的、出席者、成果物、時間割、出す回か絞る回か</t>
  </si>
  <si>
    <t xml:space="preserve">出す回と絞る回が別の日程になっている</t>
  </si>
  <si>
    <t xml:space="preserve">前半で出させ後半で絞って、出したかったことが出ない</t>
  </si>
  <si>
    <r>
      <rPr>
        <sz val="10"/>
        <rFont val="Arial"/>
        <family val="0"/>
        <charset val="1"/>
      </rPr>
      <t xml:space="preserve">6.1 </t>
    </r>
    <r>
      <rPr>
        <sz val="10"/>
        <rFont val="WenQuanYi Zen Hei"/>
        <family val="2"/>
      </rPr>
      <t xml:space="preserve">第三章</t>
    </r>
  </si>
  <si>
    <t xml:space="preserve">T35</t>
  </si>
  <si>
    <t xml:space="preserve">要望と要件を仕分け、出所と用事を記録する</t>
  </si>
  <si>
    <t xml:space="preserve">要件＝無いと目的が達成できない。右の枠に誰が・なぜ・用事を付ける</t>
  </si>
  <si>
    <t xml:space="preserve">右の枠／誰が・なぜ／用事</t>
  </si>
  <si>
    <t xml:space="preserve">要求管理／要望の出所記録／ジョブ理論</t>
  </si>
  <si>
    <t xml:space="preserve">要望一覧（別紙）</t>
  </si>
  <si>
    <t xml:space="preserve">要望、出所（誰が）、理由（なぜ）、裏の用事、今回やらない理由</t>
  </si>
  <si>
    <t xml:space="preserve">要望一覧の各行に出所・理由・用事がある</t>
  </si>
  <si>
    <t xml:space="preserve">声の大きい人の要望が要件になる／用事を聞かずに却下</t>
  </si>
  <si>
    <t xml:space="preserve">T36</t>
  </si>
  <si>
    <t xml:space="preserve">「今と同じに」を要件から外す</t>
  </si>
  <si>
    <t xml:space="preserve">理由を聞く。慣れなら教育、相手の都合なら要件</t>
  </si>
  <si>
    <t xml:space="preserve">今と同じに</t>
  </si>
  <si>
    <t xml:space="preserve">現行踏襲の禁止</t>
  </si>
  <si>
    <t xml:space="preserve">「同じに」の理由、教育で解くか要件にするか</t>
  </si>
  <si>
    <t xml:space="preserve">現行踏襲の要望に理由が付き、判定が記録されている</t>
  </si>
  <si>
    <t xml:space="preserve">今のやり方を無駄ごと固める</t>
  </si>
  <si>
    <t xml:space="preserve">T37</t>
  </si>
  <si>
    <t xml:space="preserve">業務要件を「誰が・何のために・何を」＋合格の条件で書く</t>
  </si>
  <si>
    <r>
      <rPr>
        <sz val="10"/>
        <rFont val="Arial"/>
        <family val="0"/>
        <charset val="1"/>
      </rPr>
      <t xml:space="preserve">UAT </t>
    </r>
    <r>
      <rPr>
        <sz val="10"/>
        <rFont val="WenQuanYi Zen Hei"/>
        <family val="2"/>
      </rPr>
      <t xml:space="preserve">の合格条件を要件定義の時点で作る</t>
    </r>
  </si>
  <si>
    <t xml:space="preserve">誰が・何のために・何を／前提・操作・結果</t>
  </si>
  <si>
    <r>
      <rPr>
        <sz val="10"/>
        <rFont val="WenQuanYi Zen Hei"/>
        <family val="2"/>
      </rPr>
      <t xml:space="preserve">ユースケース／受入基準（</t>
    </r>
    <r>
      <rPr>
        <sz val="10"/>
        <rFont val="Arial"/>
        <family val="0"/>
        <charset val="1"/>
      </rPr>
      <t xml:space="preserve">Given/When/Then</t>
    </r>
    <r>
      <rPr>
        <sz val="10"/>
        <rFont val="WenQuanYi Zen Hei"/>
        <family val="2"/>
      </rPr>
      <t xml:space="preserve">）</t>
    </r>
  </si>
  <si>
    <t xml:space="preserve">業務要件一覧、受入基準</t>
  </si>
  <si>
    <r>
      <rPr>
        <sz val="10"/>
        <rFont val="WenQuanYi Zen Hei"/>
        <family val="2"/>
      </rPr>
      <t xml:space="preserve">要件 </t>
    </r>
    <r>
      <rPr>
        <sz val="10"/>
        <rFont val="Arial"/>
        <family val="0"/>
        <charset val="1"/>
      </rPr>
      <t xml:space="preserve">ID</t>
    </r>
    <r>
      <rPr>
        <sz val="10"/>
        <rFont val="WenQuanYi Zen Hei"/>
        <family val="2"/>
      </rPr>
      <t xml:space="preserve">、誰が、何のために、何を、前提、操作、結果</t>
    </r>
  </si>
  <si>
    <t xml:space="preserve">全業務要件に合格の条件が付いている</t>
  </si>
  <si>
    <t xml:space="preserve">三月に合格条件を書いて甘くなる</t>
  </si>
  <si>
    <t xml:space="preserve">T38</t>
  </si>
  <si>
    <t xml:space="preserve">機能要件を業務要件と一対一で紐づける</t>
  </si>
  <si>
    <t xml:space="preserve">紐づかない機能要件は要望の紛れ込み</t>
  </si>
  <si>
    <t xml:space="preserve">三層／紐づけ</t>
  </si>
  <si>
    <t xml:space="preserve">業務・機能・非機能要件／トレーサビリティ</t>
  </si>
  <si>
    <t xml:space="preserve">トレーサビリティ表</t>
  </si>
  <si>
    <r>
      <rPr>
        <sz val="10"/>
        <rFont val="WenQuanYi Zen Hei"/>
        <family val="2"/>
      </rPr>
      <t xml:space="preserve">業務要件 </t>
    </r>
    <r>
      <rPr>
        <sz val="10"/>
        <rFont val="Arial"/>
        <family val="0"/>
        <charset val="1"/>
      </rPr>
      <t xml:space="preserve">ID</t>
    </r>
    <r>
      <rPr>
        <sz val="10"/>
        <rFont val="WenQuanYi Zen Hei"/>
        <family val="2"/>
      </rPr>
      <t xml:space="preserve">、機能要件 </t>
    </r>
    <r>
      <rPr>
        <sz val="10"/>
        <rFont val="Arial"/>
        <family val="0"/>
        <charset val="1"/>
      </rPr>
      <t xml:space="preserve">ID</t>
    </r>
    <r>
      <rPr>
        <sz val="10"/>
        <rFont val="WenQuanYi Zen Hei"/>
        <family val="2"/>
      </rPr>
      <t xml:space="preserve">、設計 </t>
    </r>
    <r>
      <rPr>
        <sz val="10"/>
        <rFont val="Arial"/>
        <family val="0"/>
        <charset val="1"/>
      </rPr>
      <t xml:space="preserve">ID</t>
    </r>
    <r>
      <rPr>
        <sz val="10"/>
        <rFont val="WenQuanYi Zen Hei"/>
        <family val="2"/>
      </rPr>
      <t xml:space="preserve">、テスト </t>
    </r>
    <r>
      <rPr>
        <sz val="10"/>
        <rFont val="Arial"/>
        <family val="0"/>
        <charset val="1"/>
      </rPr>
      <t xml:space="preserve">ID</t>
    </r>
  </si>
  <si>
    <t xml:space="preserve">紐づかない機能要件がゼロ（右の枠に移した）</t>
  </si>
  <si>
    <t xml:space="preserve">鉛筆で書き足された要望が残る</t>
  </si>
  <si>
    <t xml:space="preserve">T39</t>
  </si>
  <si>
    <t xml:space="preserve">非機能要件を「困るものだけ」「測れる形」で決める</t>
  </si>
  <si>
    <t xml:space="preserve">止まると困る時間、同時利用者、月末件数、バックアップ</t>
  </si>
  <si>
    <t xml:space="preserve">困るものだけ／測れる形</t>
  </si>
  <si>
    <r>
      <rPr>
        <sz val="10"/>
        <rFont val="WenQuanYi Zen Hei"/>
        <family val="2"/>
      </rPr>
      <t xml:space="preserve">非機能要求グレード／要件の検証可能性（</t>
    </r>
    <r>
      <rPr>
        <sz val="10"/>
        <rFont val="Arial"/>
        <family val="0"/>
        <charset val="1"/>
      </rPr>
      <t xml:space="preserve">SMART</t>
    </r>
    <r>
      <rPr>
        <sz val="10"/>
        <rFont val="WenQuanYi Zen Hei"/>
        <family val="2"/>
      </rPr>
      <t xml:space="preserve">）</t>
    </r>
  </si>
  <si>
    <t xml:space="preserve">非機能要件</t>
  </si>
  <si>
    <t xml:space="preserve">可用性、性能（ピーク件数と応答時間）、運用、移行、セキュリティ、保持期間</t>
  </si>
  <si>
    <t xml:space="preserve">各項目が数字で書かれ、月末ピークが入っている</t>
  </si>
  <si>
    <t xml:space="preserve">大企業の表を全部埋めて誰も守れない／「速く」と書く</t>
  </si>
  <si>
    <t xml:space="preserve">T40</t>
  </si>
  <si>
    <r>
      <rPr>
        <sz val="10"/>
        <rFont val="Arial"/>
        <family val="0"/>
        <charset val="1"/>
      </rPr>
      <t xml:space="preserve">CRUD </t>
    </r>
    <r>
      <rPr>
        <sz val="10"/>
        <rFont val="WenQuanYi Zen Hei"/>
        <family val="2"/>
      </rPr>
      <t xml:space="preserve">図と権限マトリクスを作る</t>
    </r>
  </si>
  <si>
    <t xml:space="preserve">誰が何を作り・読み・変え・消すか。消せる人がいると監査で聞かれる</t>
  </si>
  <si>
    <t xml:space="preserve">作る・読む・変える・消す／四つの役割</t>
  </si>
  <si>
    <r>
      <rPr>
        <sz val="10"/>
        <rFont val="Arial"/>
        <family val="0"/>
        <charset val="1"/>
      </rPr>
      <t xml:space="preserve">CRUD </t>
    </r>
    <r>
      <rPr>
        <sz val="10"/>
        <rFont val="WenQuanYi Zen Hei"/>
        <family val="2"/>
      </rPr>
      <t xml:space="preserve">図／権限マトリクス</t>
    </r>
  </si>
  <si>
    <r>
      <rPr>
        <sz val="10"/>
        <rFont val="Arial"/>
        <family val="0"/>
        <charset val="1"/>
      </rPr>
      <t xml:space="preserve">CRUD </t>
    </r>
    <r>
      <rPr>
        <sz val="10"/>
        <rFont val="WenQuanYi Zen Hei"/>
        <family val="2"/>
      </rPr>
      <t xml:space="preserve">図、権限マトリクス</t>
    </r>
  </si>
  <si>
    <r>
      <rPr>
        <sz val="10"/>
        <rFont val="WenQuanYi Zen Hei"/>
        <family val="2"/>
      </rPr>
      <t xml:space="preserve">データ</t>
    </r>
    <r>
      <rPr>
        <sz val="10"/>
        <rFont val="Arial"/>
        <family val="0"/>
        <charset val="1"/>
      </rPr>
      <t xml:space="preserve">×</t>
    </r>
    <r>
      <rPr>
        <sz val="10"/>
        <rFont val="WenQuanYi Zen Hei"/>
        <family val="2"/>
      </rPr>
      <t xml:space="preserve">画面の </t>
    </r>
    <r>
      <rPr>
        <sz val="10"/>
        <rFont val="Arial"/>
        <family val="0"/>
        <charset val="1"/>
      </rPr>
      <t xml:space="preserve">CRUD</t>
    </r>
    <r>
      <rPr>
        <sz val="10"/>
        <rFont val="WenQuanYi Zen Hei"/>
        <family val="2"/>
      </rPr>
      <t xml:space="preserve">、役割</t>
    </r>
    <r>
      <rPr>
        <sz val="10"/>
        <rFont val="Arial"/>
        <family val="0"/>
        <charset val="1"/>
      </rPr>
      <t xml:space="preserve">×</t>
    </r>
    <r>
      <rPr>
        <sz val="10"/>
        <rFont val="WenQuanYi Zen Hei"/>
        <family val="2"/>
      </rPr>
      <t xml:space="preserve">機能、</t>
    </r>
    <r>
      <rPr>
        <sz val="10"/>
        <rFont val="Arial"/>
        <family val="0"/>
        <charset val="1"/>
      </rPr>
      <t xml:space="preserve">ID </t>
    </r>
    <r>
      <rPr>
        <sz val="10"/>
        <rFont val="WenQuanYi Zen Hei"/>
        <family val="2"/>
      </rPr>
      <t xml:space="preserve">グループとの対応</t>
    </r>
  </si>
  <si>
    <t xml:space="preserve">総務・情報システム</t>
  </si>
  <si>
    <t xml:space="preserve">「消す」が取消に置き換わり、「変える」画面の無いデータが洗い出されている</t>
  </si>
  <si>
    <t xml:space="preserve">顧客を変える画面が管理者にしか無く、現場で止まる</t>
  </si>
  <si>
    <t xml:space="preserve">T41</t>
  </si>
  <si>
    <t xml:space="preserve">業務ルール表を作り、空欄を見える化する</t>
  </si>
  <si>
    <t xml:space="preserve">条件で結果が変わる決めごとは表に。空欄＝決めていないこと</t>
  </si>
  <si>
    <t xml:space="preserve">表にする</t>
  </si>
  <si>
    <t xml:space="preserve">業務ルール表（ディシジョンテーブル）</t>
  </si>
  <si>
    <t xml:space="preserve">業務ルール表</t>
  </si>
  <si>
    <r>
      <rPr>
        <sz val="10"/>
        <rFont val="WenQuanYi Zen Hei"/>
        <family val="2"/>
      </rPr>
      <t xml:space="preserve">経路</t>
    </r>
    <r>
      <rPr>
        <sz val="10"/>
        <rFont val="Arial"/>
        <family val="0"/>
        <charset val="1"/>
      </rPr>
      <t xml:space="preserve">×</t>
    </r>
    <r>
      <rPr>
        <sz val="10"/>
        <rFont val="WenQuanYi Zen Hei"/>
        <family val="2"/>
      </rPr>
      <t xml:space="preserve">承認</t>
    </r>
    <r>
      <rPr>
        <sz val="10"/>
        <rFont val="Arial"/>
        <family val="0"/>
        <charset val="1"/>
      </rPr>
      <t xml:space="preserve">×</t>
    </r>
    <r>
      <rPr>
        <sz val="10"/>
        <rFont val="WenQuanYi Zen Hei"/>
        <family val="2"/>
      </rPr>
      <t xml:space="preserve">単価の時点</t>
    </r>
    <r>
      <rPr>
        <sz val="10"/>
        <rFont val="Arial"/>
        <family val="0"/>
        <charset val="1"/>
      </rPr>
      <t xml:space="preserve">×</t>
    </r>
    <r>
      <rPr>
        <sz val="10"/>
        <rFont val="WenQuanYi Zen Hei"/>
        <family val="2"/>
      </rPr>
      <t xml:space="preserve">返品</t>
    </r>
    <r>
      <rPr>
        <sz val="10"/>
        <rFont val="Arial"/>
        <family val="0"/>
        <charset val="1"/>
      </rPr>
      <t xml:space="preserve">×</t>
    </r>
    <r>
      <rPr>
        <sz val="10"/>
        <rFont val="WenQuanYi Zen Hei"/>
        <family val="2"/>
      </rPr>
      <t xml:space="preserve">出荷指示、空欄の一覧</t>
    </r>
  </si>
  <si>
    <t xml:space="preserve">空欄が明示され、誰がいつ決めるかが書いてある</t>
  </si>
  <si>
    <t xml:space="preserve">「ただし」が五つ並ぶ文章で誰も読めない</t>
  </si>
  <si>
    <t xml:space="preserve">T42</t>
  </si>
  <si>
    <t xml:space="preserve">帳票・移行・運用・教育要件を書く</t>
  </si>
  <si>
    <t xml:space="preserve">忘れがちな後ろの章を落とさない</t>
  </si>
  <si>
    <t xml:space="preserve">帳票要件／移行要件</t>
  </si>
  <si>
    <t xml:space="preserve">帳票要件・移行要件・運用要件・教育要件</t>
  </si>
  <si>
    <r>
      <rPr>
        <sz val="10"/>
        <rFont val="WenQuanYi Zen Hei"/>
        <family val="2"/>
      </rPr>
      <t xml:space="preserve">要件定義書 </t>
    </r>
    <r>
      <rPr>
        <sz val="10"/>
        <rFont val="Arial"/>
        <family val="0"/>
        <charset val="1"/>
      </rPr>
      <t xml:space="preserve">v1.0</t>
    </r>
    <r>
      <rPr>
        <sz val="10"/>
        <rFont val="WenQuanYi Zen Hei"/>
        <family val="2"/>
      </rPr>
      <t xml:space="preserve">（凍結）</t>
    </r>
  </si>
  <si>
    <t xml:space="preserve">帳票一覧、移行方針（対象・期間）、運用要件、教育要件</t>
  </si>
  <si>
    <t xml:space="preserve">四つの章が空でない</t>
  </si>
  <si>
    <t xml:space="preserve">システム機能だけ書いて移行と教育が抜ける</t>
  </si>
  <si>
    <t xml:space="preserve">T43</t>
  </si>
  <si>
    <t xml:space="preserve">増えた要件を理由付きで記録する</t>
  </si>
  <si>
    <t xml:space="preserve">遅れの理由を「管理が悪い」にしない</t>
  </si>
  <si>
    <t xml:space="preserve">記録する</t>
  </si>
  <si>
    <t xml:space="preserve">要件変更記録</t>
  </si>
  <si>
    <t xml:space="preserve">日付、追加要件、指摘者、理由、影響</t>
  </si>
  <si>
    <t xml:space="preserve">追加のたびに日付・理由が残っている</t>
  </si>
  <si>
    <t xml:space="preserve">増えたことを隠す</t>
  </si>
  <si>
    <t xml:space="preserve">T44</t>
  </si>
  <si>
    <r>
      <rPr>
        <sz val="10"/>
        <rFont val="Arial"/>
        <family val="0"/>
        <charset val="1"/>
      </rPr>
      <t xml:space="preserve">MoSCoW </t>
    </r>
    <r>
      <rPr>
        <sz val="10"/>
        <rFont val="WenQuanYi Zen Hei"/>
        <family val="2"/>
      </rPr>
      <t xml:space="preserve">で優先度を付け、</t>
    </r>
    <r>
      <rPr>
        <sz val="10"/>
        <rFont val="Arial"/>
        <family val="0"/>
        <charset val="1"/>
      </rPr>
      <t xml:space="preserve">Must </t>
    </r>
    <r>
      <rPr>
        <sz val="10"/>
        <rFont val="WenQuanYi Zen Hei"/>
        <family val="2"/>
      </rPr>
      <t xml:space="preserve">の上限を守る</t>
    </r>
  </si>
  <si>
    <t xml:space="preserve">間に合わないとわかる前に落とす順番を決める</t>
  </si>
  <si>
    <t xml:space="preserve">落とす順番／八割は優先度ではない</t>
  </si>
  <si>
    <r>
      <rPr>
        <sz val="10"/>
        <rFont val="Arial"/>
        <family val="0"/>
        <charset val="1"/>
      </rPr>
      <t xml:space="preserve">MoSCoW</t>
    </r>
    <r>
      <rPr>
        <sz val="10"/>
        <rFont val="WenQuanYi Zen Hei"/>
        <family val="2"/>
      </rPr>
      <t xml:space="preserve">／</t>
    </r>
    <r>
      <rPr>
        <sz val="10"/>
        <rFont val="Arial"/>
        <family val="0"/>
        <charset val="1"/>
      </rPr>
      <t xml:space="preserve">Must </t>
    </r>
    <r>
      <rPr>
        <sz val="10"/>
        <rFont val="WenQuanYi Zen Hei"/>
        <family val="2"/>
      </rPr>
      <t xml:space="preserve">の上限</t>
    </r>
  </si>
  <si>
    <t xml:space="preserve">優先度一覧</t>
  </si>
  <si>
    <r>
      <rPr>
        <sz val="10"/>
        <rFont val="WenQuanYi Zen Hei"/>
        <family val="2"/>
      </rPr>
      <t xml:space="preserve">要件 </t>
    </r>
    <r>
      <rPr>
        <sz val="10"/>
        <rFont val="Arial"/>
        <family val="0"/>
        <charset val="1"/>
      </rPr>
      <t xml:space="preserve">ID</t>
    </r>
    <r>
      <rPr>
        <sz val="10"/>
        <rFont val="WenQuanYi Zen Hei"/>
        <family val="2"/>
      </rPr>
      <t xml:space="preserve">、</t>
    </r>
    <r>
      <rPr>
        <sz val="10"/>
        <rFont val="Arial"/>
        <family val="0"/>
        <charset val="1"/>
      </rPr>
      <t xml:space="preserve">Must</t>
    </r>
    <r>
      <rPr>
        <sz val="10"/>
        <rFont val="WenQuanYi Zen Hei"/>
        <family val="2"/>
      </rPr>
      <t xml:space="preserve">／</t>
    </r>
    <r>
      <rPr>
        <sz val="10"/>
        <rFont val="Arial"/>
        <family val="0"/>
        <charset val="1"/>
      </rPr>
      <t xml:space="preserve">Should</t>
    </r>
    <r>
      <rPr>
        <sz val="10"/>
        <rFont val="WenQuanYi Zen Hei"/>
        <family val="2"/>
      </rPr>
      <t xml:space="preserve">／</t>
    </r>
    <r>
      <rPr>
        <sz val="10"/>
        <rFont val="Arial"/>
        <family val="0"/>
        <charset val="1"/>
      </rPr>
      <t xml:space="preserve">Could</t>
    </r>
    <r>
      <rPr>
        <sz val="10"/>
        <rFont val="WenQuanYi Zen Hei"/>
        <family val="2"/>
      </rPr>
      <t xml:space="preserve">／</t>
    </r>
    <r>
      <rPr>
        <sz val="10"/>
        <rFont val="Arial"/>
        <family val="0"/>
        <charset val="1"/>
      </rPr>
      <t xml:space="preserve">Won't</t>
    </r>
    <r>
      <rPr>
        <sz val="10"/>
        <rFont val="WenQuanYi Zen Hei"/>
        <family val="2"/>
      </rPr>
      <t xml:space="preserve">、</t>
    </r>
    <r>
      <rPr>
        <sz val="10"/>
        <rFont val="Arial"/>
        <family val="0"/>
        <charset val="1"/>
      </rPr>
      <t xml:space="preserve">Must </t>
    </r>
    <r>
      <rPr>
        <sz val="10"/>
        <rFont val="WenQuanYi Zen Hei"/>
        <family val="2"/>
      </rPr>
      <t xml:space="preserve">の割合</t>
    </r>
  </si>
  <si>
    <r>
      <rPr>
        <sz val="10"/>
        <rFont val="Arial"/>
        <family val="0"/>
        <charset val="1"/>
      </rPr>
      <t xml:space="preserve">Must </t>
    </r>
    <r>
      <rPr>
        <sz val="10"/>
        <rFont val="WenQuanYi Zen Hei"/>
        <family val="2"/>
      </rPr>
      <t xml:space="preserve">が七割以下に絞られている</t>
    </r>
  </si>
  <si>
    <r>
      <rPr>
        <sz val="10"/>
        <rFont val="Arial"/>
        <family val="0"/>
        <charset val="1"/>
      </rPr>
      <t xml:space="preserve">Must </t>
    </r>
    <r>
      <rPr>
        <sz val="10"/>
        <rFont val="WenQuanYi Zen Hei"/>
        <family val="2"/>
      </rPr>
      <t xml:space="preserve">が八割で優先度になっていない</t>
    </r>
  </si>
  <si>
    <t xml:space="preserve">T45</t>
  </si>
  <si>
    <t xml:space="preserve">要件定義書を凍結し、署名とステコミ承認を得る</t>
  </si>
  <si>
    <r>
      <rPr>
        <sz val="10"/>
        <rFont val="WenQuanYi Zen Hei"/>
        <family val="2"/>
      </rPr>
      <t xml:space="preserve">以後の変更は手順（</t>
    </r>
    <r>
      <rPr>
        <sz val="10"/>
        <rFont val="Arial"/>
        <family val="0"/>
        <charset val="1"/>
      </rPr>
      <t xml:space="preserve">CR</t>
    </r>
    <r>
      <rPr>
        <sz val="10"/>
        <rFont val="WenQuanYi Zen Hei"/>
        <family val="2"/>
      </rPr>
      <t xml:space="preserve">）で</t>
    </r>
  </si>
  <si>
    <t xml:space="preserve">凍結</t>
  </si>
  <si>
    <t xml:space="preserve">ベースライン</t>
  </si>
  <si>
    <r>
      <rPr>
        <sz val="10"/>
        <rFont val="WenQuanYi Zen Hei"/>
        <family val="2"/>
      </rPr>
      <t xml:space="preserve">目的と範囲、</t>
    </r>
    <r>
      <rPr>
        <sz val="10"/>
        <rFont val="Arial"/>
        <family val="0"/>
        <charset val="1"/>
      </rPr>
      <t xml:space="preserve">To-Be </t>
    </r>
    <r>
      <rPr>
        <sz val="10"/>
        <rFont val="WenQuanYi Zen Hei"/>
        <family val="2"/>
      </rPr>
      <t xml:space="preserve">フロー、業務／機能／非機能要件、画面・帳票・連携一覧、移行方針、やらないこと、優先度、業務ルール表、受入基準、署名</t>
    </r>
  </si>
  <si>
    <t xml:space="preserve">版番号と凍結日があり、四人の署名と社長承認がある</t>
  </si>
  <si>
    <t xml:space="preserve">凍結しないと変更管理が使えない</t>
  </si>
  <si>
    <t xml:space="preserve">T46</t>
  </si>
  <si>
    <r>
      <rPr>
        <sz val="10"/>
        <rFont val="Arial"/>
        <family val="0"/>
        <charset val="1"/>
      </rPr>
      <t xml:space="preserve">10</t>
    </r>
    <r>
      <rPr>
        <sz val="10"/>
        <rFont val="WenQuanYi Zen Hei"/>
        <family val="2"/>
      </rPr>
      <t xml:space="preserve">〜</t>
    </r>
    <r>
      <rPr>
        <sz val="10"/>
        <rFont val="Arial"/>
        <family val="0"/>
        <charset val="1"/>
      </rPr>
      <t xml:space="preserve">11</t>
    </r>
    <r>
      <rPr>
        <sz val="10"/>
        <rFont val="WenQuanYi Zen Hei"/>
        <family val="2"/>
      </rPr>
      <t xml:space="preserve">月</t>
    </r>
  </si>
  <si>
    <t xml:space="preserve">作る／買う／借りるを比べる</t>
  </si>
  <si>
    <t xml:space="preserve">業務が標準的なら借り、業務を合わせる</t>
  </si>
  <si>
    <t xml:space="preserve">作るか買うか借りるか</t>
  </si>
  <si>
    <r>
      <rPr>
        <sz val="10"/>
        <rFont val="WenQuanYi Zen Hei"/>
        <family val="2"/>
      </rPr>
      <t xml:space="preserve">スクラッチ／パッケージ／</t>
    </r>
    <r>
      <rPr>
        <sz val="10"/>
        <rFont val="Arial"/>
        <family val="0"/>
        <charset val="1"/>
      </rPr>
      <t xml:space="preserve">SaaS</t>
    </r>
  </si>
  <si>
    <t xml:space="preserve">方式比較表</t>
  </si>
  <si>
    <t xml:space="preserve">初期費用、月額、期間、自由度、五年後の保守、向く条件</t>
  </si>
  <si>
    <t xml:space="preserve">「業務が独特か」に答えた記録があり、方式が決まっている</t>
  </si>
  <si>
    <t xml:space="preserve">独特でない業務を一から作る</t>
  </si>
  <si>
    <r>
      <rPr>
        <sz val="10"/>
        <rFont val="Arial"/>
        <family val="0"/>
        <charset val="1"/>
      </rPr>
      <t xml:space="preserve">6.1 </t>
    </r>
    <r>
      <rPr>
        <sz val="10"/>
        <rFont val="WenQuanYi Zen Hei"/>
        <family val="2"/>
      </rPr>
      <t xml:space="preserve">第四章</t>
    </r>
  </si>
  <si>
    <t xml:space="preserve">T47</t>
  </si>
  <si>
    <r>
      <rPr>
        <sz val="10"/>
        <rFont val="Arial"/>
        <family val="0"/>
        <charset val="1"/>
      </rPr>
      <t xml:space="preserve">RFI </t>
    </r>
    <r>
      <rPr>
        <sz val="10"/>
        <rFont val="WenQuanYi Zen Hei"/>
        <family val="2"/>
      </rPr>
      <t xml:space="preserve">で候補を三社まで絞る</t>
    </r>
  </si>
  <si>
    <t xml:space="preserve">厚い紙を送る前に薄い紙で可否を聞く</t>
  </si>
  <si>
    <t xml:space="preserve">薄い紙</t>
  </si>
  <si>
    <r>
      <rPr>
        <sz val="10"/>
        <rFont val="Arial"/>
        <family val="0"/>
        <charset val="1"/>
      </rPr>
      <t xml:space="preserve">RFI</t>
    </r>
    <r>
      <rPr>
        <sz val="10"/>
        <rFont val="WenQuanYi Zen Hei"/>
        <family val="2"/>
      </rPr>
      <t xml:space="preserve">（情報提供依頼）</t>
    </r>
  </si>
  <si>
    <r>
      <rPr>
        <sz val="10"/>
        <rFont val="Arial"/>
        <family val="0"/>
        <charset val="1"/>
      </rPr>
      <t xml:space="preserve">RFI</t>
    </r>
    <r>
      <rPr>
        <sz val="10"/>
        <rFont val="WenQuanYi Zen Hei"/>
        <family val="2"/>
      </rPr>
      <t xml:space="preserve">・回答一覧</t>
    </r>
  </si>
  <si>
    <r>
      <rPr>
        <sz val="10"/>
        <rFont val="WenQuanYi Zen Hei"/>
        <family val="2"/>
      </rPr>
      <t xml:space="preserve">会社規模、業務の要点、連携先、</t>
    </r>
    <r>
      <rPr>
        <sz val="10"/>
        <rFont val="Arial"/>
        <family val="0"/>
        <charset val="1"/>
      </rPr>
      <t xml:space="preserve">SSO</t>
    </r>
    <r>
      <rPr>
        <sz val="10"/>
        <rFont val="WenQuanYi Zen Hei"/>
        <family val="2"/>
      </rPr>
      <t xml:space="preserve">、対応可否</t>
    </r>
  </si>
  <si>
    <t xml:space="preserve">三社以下に絞れている</t>
  </si>
  <si>
    <t xml:space="preserve">七社分の提案書を読んで一か月かかる</t>
  </si>
  <si>
    <t xml:space="preserve">T48</t>
  </si>
  <si>
    <r>
      <rPr>
        <sz val="10"/>
        <rFont val="Arial"/>
        <family val="0"/>
        <charset val="1"/>
      </rPr>
      <t xml:space="preserve">RFP </t>
    </r>
    <r>
      <rPr>
        <sz val="10"/>
        <rFont val="WenQuanYi Zen Hei"/>
        <family val="2"/>
      </rPr>
      <t xml:space="preserve">を書く（基準・重み・台本・見積書式を先に）</t>
    </r>
  </si>
  <si>
    <t xml:space="preserve">デモの印象で決めない。「総合的に判断して」を言わない</t>
  </si>
  <si>
    <t xml:space="preserve">提案依頼／重み／台本</t>
  </si>
  <si>
    <r>
      <rPr>
        <sz val="10"/>
        <rFont val="Arial"/>
        <family val="0"/>
        <charset val="1"/>
      </rPr>
      <t xml:space="preserve">RFP</t>
    </r>
    <r>
      <rPr>
        <sz val="10"/>
        <rFont val="WenQuanYi Zen Hei"/>
        <family val="2"/>
      </rPr>
      <t xml:space="preserve">／評価表（重み付け）／デモシナリオ</t>
    </r>
  </si>
  <si>
    <t xml:space="preserve">RFP</t>
  </si>
  <si>
    <t xml:space="preserve">背景、要件定義書、提案してほしいこと、選定基準と重み、日程、デモの台本、見積の書き方（一式禁止）</t>
  </si>
  <si>
    <t xml:space="preserve">ステコミ</t>
  </si>
  <si>
    <t xml:space="preserve">基準と重みが提案書を読む前に三社へ送られている</t>
  </si>
  <si>
    <t xml:space="preserve">読んだ後に重みを合わせる</t>
  </si>
  <si>
    <t xml:space="preserve">T49</t>
  </si>
  <si>
    <r>
      <rPr>
        <sz val="10"/>
        <rFont val="Arial"/>
        <family val="0"/>
        <charset val="1"/>
      </rPr>
      <t xml:space="preserve">Fit &amp; Gap </t>
    </r>
    <r>
      <rPr>
        <sz val="10"/>
        <rFont val="WenQuanYi Zen Hei"/>
        <family val="2"/>
      </rPr>
      <t xml:space="preserve">を評価する</t>
    </r>
  </si>
  <si>
    <r>
      <rPr>
        <sz val="10"/>
        <rFont val="Arial"/>
        <family val="0"/>
        <charset val="1"/>
      </rPr>
      <t xml:space="preserve">Gap </t>
    </r>
    <r>
      <rPr>
        <sz val="10"/>
        <rFont val="WenQuanYi Zen Hei"/>
        <family val="2"/>
      </rPr>
      <t xml:space="preserve">は業務で吸収・連携で作る・諦める。四割超でやめる</t>
    </r>
  </si>
  <si>
    <t xml:space="preserve">当てる</t>
  </si>
  <si>
    <t xml:space="preserve">Fit &amp; Gap</t>
  </si>
  <si>
    <r>
      <rPr>
        <sz val="10"/>
        <rFont val="Arial"/>
        <family val="0"/>
        <charset val="1"/>
      </rPr>
      <t xml:space="preserve">Fit &amp; Gap </t>
    </r>
    <r>
      <rPr>
        <sz val="10"/>
        <rFont val="WenQuanYi Zen Hei"/>
        <family val="2"/>
      </rPr>
      <t xml:space="preserve">表</t>
    </r>
  </si>
  <si>
    <r>
      <rPr>
        <sz val="10"/>
        <rFont val="WenQuanYi Zen Hei"/>
        <family val="2"/>
      </rPr>
      <t xml:space="preserve">機能要件</t>
    </r>
    <r>
      <rPr>
        <sz val="10"/>
        <rFont val="Arial"/>
        <family val="0"/>
        <charset val="1"/>
      </rPr>
      <t xml:space="preserve">×</t>
    </r>
    <r>
      <rPr>
        <sz val="10"/>
        <rFont val="WenQuanYi Zen Hei"/>
        <family val="2"/>
      </rPr>
      <t xml:space="preserve">各社の </t>
    </r>
    <r>
      <rPr>
        <sz val="10"/>
        <rFont val="Arial"/>
        <family val="0"/>
        <charset val="1"/>
      </rPr>
      <t xml:space="preserve">Fit</t>
    </r>
    <r>
      <rPr>
        <sz val="10"/>
        <rFont val="WenQuanYi Zen Hei"/>
        <family val="2"/>
      </rPr>
      <t xml:space="preserve">／</t>
    </r>
    <r>
      <rPr>
        <sz val="10"/>
        <rFont val="Arial"/>
        <family val="0"/>
        <charset val="1"/>
      </rPr>
      <t xml:space="preserve">Gap</t>
    </r>
    <r>
      <rPr>
        <sz val="10"/>
        <rFont val="WenQuanYi Zen Hei"/>
        <family val="2"/>
      </rPr>
      <t xml:space="preserve">（吸収・カスタマイズ・不可）、</t>
    </r>
    <r>
      <rPr>
        <sz val="10"/>
        <rFont val="Arial"/>
        <family val="0"/>
        <charset val="1"/>
      </rPr>
      <t xml:space="preserve">Gap </t>
    </r>
    <r>
      <rPr>
        <sz val="10"/>
        <rFont val="WenQuanYi Zen Hei"/>
        <family val="2"/>
      </rPr>
      <t xml:space="preserve">率</t>
    </r>
  </si>
  <si>
    <r>
      <rPr>
        <sz val="10"/>
        <rFont val="WenQuanYi Zen Hei"/>
        <family val="2"/>
      </rPr>
      <t xml:space="preserve">各社の </t>
    </r>
    <r>
      <rPr>
        <sz val="10"/>
        <rFont val="Arial"/>
        <family val="0"/>
        <charset val="1"/>
      </rPr>
      <t xml:space="preserve">Gap </t>
    </r>
    <r>
      <rPr>
        <sz val="10"/>
        <rFont val="WenQuanYi Zen Hei"/>
        <family val="2"/>
      </rPr>
      <t xml:space="preserve">率が出て、四割超の候補は落ちている</t>
    </r>
  </si>
  <si>
    <r>
      <rPr>
        <sz val="10"/>
        <rFont val="Arial"/>
        <family val="0"/>
        <charset val="1"/>
      </rPr>
      <t xml:space="preserve">Gap </t>
    </r>
    <r>
      <rPr>
        <sz val="10"/>
        <rFont val="WenQuanYi Zen Hei"/>
        <family val="2"/>
      </rPr>
      <t xml:space="preserve">を全部作り込んで版上げできなくなる</t>
    </r>
  </si>
  <si>
    <t xml:space="preserve">T50</t>
  </si>
  <si>
    <t xml:space="preserve">同じ台本・実データでデモを見る</t>
  </si>
  <si>
    <t xml:space="preserve">三社を同じ流れで比べる</t>
  </si>
  <si>
    <t xml:space="preserve">台本</t>
  </si>
  <si>
    <t xml:space="preserve">デモシナリオ</t>
  </si>
  <si>
    <t xml:space="preserve">デモ評価記録</t>
  </si>
  <si>
    <t xml:space="preserve">台本の各項目の可否、気づき、発言者</t>
  </si>
  <si>
    <r>
      <rPr>
        <sz val="10"/>
        <rFont val="Arial"/>
        <family val="0"/>
        <charset val="1"/>
      </rPr>
      <t xml:space="preserve">PM</t>
    </r>
    <r>
      <rPr>
        <sz val="10"/>
        <rFont val="WenQuanYi Zen Hei"/>
        <family val="2"/>
      </rPr>
      <t xml:space="preserve">、業務オーナー</t>
    </r>
  </si>
  <si>
    <r>
      <rPr>
        <sz val="10"/>
        <rFont val="WenQuanYi Zen Hei"/>
        <family val="2"/>
      </rPr>
      <t xml:space="preserve">三社とも台本の全項目に○</t>
    </r>
    <r>
      <rPr>
        <sz val="10"/>
        <rFont val="Arial"/>
        <family val="0"/>
        <charset val="1"/>
      </rPr>
      <t xml:space="preserve">×</t>
    </r>
    <r>
      <rPr>
        <sz val="10"/>
        <rFont val="WenQuanYi Zen Hei"/>
        <family val="2"/>
      </rPr>
      <t xml:space="preserve">が付いている</t>
    </r>
  </si>
  <si>
    <t xml:space="preserve">得意画面のダッシュボードで「強い」と決める</t>
  </si>
  <si>
    <t xml:space="preserve">T51</t>
  </si>
  <si>
    <t xml:space="preserve">評価表で採点する</t>
  </si>
  <si>
    <t xml:space="preserve">先に決めた重みで点を付ける</t>
  </si>
  <si>
    <t xml:space="preserve">重み</t>
  </si>
  <si>
    <t xml:space="preserve">評価表（重み付けスコアリング）</t>
  </si>
  <si>
    <t xml:space="preserve">評価表</t>
  </si>
  <si>
    <t xml:space="preserve">項目、重み、各社の点、合計</t>
  </si>
  <si>
    <t xml:space="preserve">合計点と、選定理由が重みから説明できる</t>
  </si>
  <si>
    <t xml:space="preserve">名前が強いから選ぶ</t>
  </si>
  <si>
    <t xml:space="preserve">T52</t>
  </si>
  <si>
    <t xml:space="preserve">トライアルをする（現場の人も入れる）</t>
  </si>
  <si>
    <r>
      <rPr>
        <sz val="10"/>
        <rFont val="WenQuanYi Zen Hei"/>
        <family val="2"/>
      </rPr>
      <t xml:space="preserve">連携と </t>
    </r>
    <r>
      <rPr>
        <sz val="10"/>
        <rFont val="Arial"/>
        <family val="0"/>
        <charset val="1"/>
      </rPr>
      <t xml:space="preserve">SSO </t>
    </r>
    <r>
      <rPr>
        <sz val="10"/>
        <rFont val="WenQuanYi Zen Hei"/>
        <family val="2"/>
      </rPr>
      <t xml:space="preserve">だけでなく、一番仕事が変わる人に触らせる</t>
    </r>
  </si>
  <si>
    <t xml:space="preserve">試す</t>
  </si>
  <si>
    <r>
      <rPr>
        <sz val="10"/>
        <rFont val="WenQuanYi Zen Hei"/>
        <family val="2"/>
      </rPr>
      <t xml:space="preserve">トライアル（</t>
    </r>
    <r>
      <rPr>
        <sz val="10"/>
        <rFont val="Arial"/>
        <family val="0"/>
        <charset val="1"/>
      </rPr>
      <t xml:space="preserve">PoC</t>
    </r>
    <r>
      <rPr>
        <sz val="10"/>
        <rFont val="WenQuanYi Zen Hei"/>
        <family val="2"/>
      </rPr>
      <t xml:space="preserve">）</t>
    </r>
  </si>
  <si>
    <t xml:space="preserve">トライアル結果、リファレンス記録</t>
  </si>
  <si>
    <t xml:space="preserve">試した項目、結果、現場の人の感想</t>
  </si>
  <si>
    <r>
      <rPr>
        <sz val="10"/>
        <rFont val="WenQuanYi Zen Hei"/>
        <family val="2"/>
      </rPr>
      <t xml:space="preserve">連携・</t>
    </r>
    <r>
      <rPr>
        <sz val="10"/>
        <rFont val="Arial"/>
        <family val="0"/>
        <charset val="1"/>
      </rPr>
      <t xml:space="preserve">SSO</t>
    </r>
    <r>
      <rPr>
        <sz val="10"/>
        <rFont val="WenQuanYi Zen Hei"/>
        <family val="2"/>
      </rPr>
      <t xml:space="preserve">・現場入力の三つが試されている</t>
    </r>
  </si>
  <si>
    <r>
      <rPr>
        <sz val="10"/>
        <rFont val="WenQuanYi Zen Hei"/>
        <family val="2"/>
      </rPr>
      <t xml:space="preserve">連携と </t>
    </r>
    <r>
      <rPr>
        <sz val="10"/>
        <rFont val="Arial"/>
        <family val="0"/>
        <charset val="1"/>
      </rPr>
      <t xml:space="preserve">SSO </t>
    </r>
    <r>
      <rPr>
        <sz val="10"/>
        <rFont val="WenQuanYi Zen Hei"/>
        <family val="2"/>
      </rPr>
      <t xml:space="preserve">だけ試して現場を入れない（振り返りで反省）</t>
    </r>
  </si>
  <si>
    <r>
      <rPr>
        <sz val="10"/>
        <rFont val="Arial"/>
        <family val="0"/>
        <charset val="1"/>
      </rPr>
      <t xml:space="preserve">6.1 </t>
    </r>
    <r>
      <rPr>
        <sz val="10"/>
        <rFont val="WenQuanYi Zen Hei"/>
        <family val="2"/>
      </rPr>
      <t xml:space="preserve">第四章／</t>
    </r>
    <r>
      <rPr>
        <sz val="10"/>
        <rFont val="Arial"/>
        <family val="0"/>
        <charset val="1"/>
      </rPr>
      <t xml:space="preserve">6.2 </t>
    </r>
    <r>
      <rPr>
        <sz val="10"/>
        <rFont val="WenQuanYi Zen Hei"/>
        <family val="2"/>
      </rPr>
      <t xml:space="preserve">第八章</t>
    </r>
  </si>
  <si>
    <t xml:space="preserve">T53</t>
  </si>
  <si>
    <t xml:space="preserve">導入先に「一番苦労したこと」を聞く</t>
  </si>
  <si>
    <t xml:space="preserve">答えを自分の見立てで打ち消さない</t>
  </si>
  <si>
    <t xml:space="preserve">一番苦労したこと</t>
  </si>
  <si>
    <t xml:space="preserve">リファレンスチェック</t>
  </si>
  <si>
    <t xml:space="preserve">導入先、規模、一番苦労したこと、自社への当てはめ</t>
  </si>
  <si>
    <t xml:space="preserve">聞いた答えがリスク登録簿に反映され、見立てが更新されている</t>
  </si>
  <si>
    <t xml:space="preserve">「うちは大丈夫」で見立てを変えない</t>
  </si>
  <si>
    <t xml:space="preserve">T54</t>
  </si>
  <si>
    <t xml:space="preserve">五年総額＋自社の手作業で比べる</t>
  </si>
  <si>
    <t xml:space="preserve">安い提案は手作業を前提にしている</t>
  </si>
  <si>
    <t xml:space="preserve">五年総額</t>
  </si>
  <si>
    <r>
      <rPr>
        <sz val="10"/>
        <rFont val="Arial"/>
        <family val="0"/>
        <charset val="1"/>
      </rPr>
      <t xml:space="preserve">TCO</t>
    </r>
    <r>
      <rPr>
        <sz val="10"/>
        <rFont val="WenQuanYi Zen Hei"/>
        <family val="2"/>
      </rPr>
      <t xml:space="preserve">（総保有コスト）</t>
    </r>
  </si>
  <si>
    <r>
      <rPr>
        <sz val="10"/>
        <rFont val="Arial"/>
        <family val="0"/>
        <charset val="1"/>
      </rPr>
      <t xml:space="preserve">TCO </t>
    </r>
    <r>
      <rPr>
        <sz val="10"/>
        <rFont val="WenQuanYi Zen Hei"/>
        <family val="2"/>
      </rPr>
      <t xml:space="preserve">比較表</t>
    </r>
  </si>
  <si>
    <r>
      <rPr>
        <sz val="10"/>
        <rFont val="WenQuanYi Zen Hei"/>
        <family val="2"/>
      </rPr>
      <t xml:space="preserve">初期、月額</t>
    </r>
    <r>
      <rPr>
        <sz val="10"/>
        <rFont val="Arial"/>
        <family val="0"/>
        <charset val="1"/>
      </rPr>
      <t xml:space="preserve">×60</t>
    </r>
    <r>
      <rPr>
        <sz val="10"/>
        <rFont val="WenQuanYi Zen Hei"/>
        <family val="2"/>
      </rPr>
      <t xml:space="preserve">、保守、自社側の手作業（時給換算）</t>
    </r>
  </si>
  <si>
    <t xml:space="preserve">各社の五年総額に自社側の手作業が足されている</t>
  </si>
  <si>
    <t xml:space="preserve">初期費用だけで比べる</t>
  </si>
  <si>
    <t xml:space="preserve">T55</t>
  </si>
  <si>
    <t xml:space="preserve">選定をステコミで承認する</t>
  </si>
  <si>
    <r>
      <rPr>
        <sz val="10"/>
        <rFont val="WenQuanYi Zen Hei"/>
        <family val="2"/>
      </rPr>
      <t xml:space="preserve">予算超過は理由（</t>
    </r>
    <r>
      <rPr>
        <sz val="10"/>
        <rFont val="Arial"/>
        <family val="0"/>
        <charset val="1"/>
      </rPr>
      <t xml:space="preserve">Fit </t>
    </r>
    <r>
      <rPr>
        <sz val="10"/>
        <rFont val="WenQuanYi Zen Hei"/>
        <family val="2"/>
      </rPr>
      <t xml:space="preserve">の差）とセットで</t>
    </r>
  </si>
  <si>
    <t xml:space="preserve">選定</t>
  </si>
  <si>
    <t xml:space="preserve">選定承認</t>
  </si>
  <si>
    <t xml:space="preserve">選定理由書</t>
  </si>
  <si>
    <t xml:space="preserve">選ばれた社、点、超過額とその理由、超過の承認者</t>
  </si>
  <si>
    <t xml:space="preserve">超過額が承認され、理由が書かれている</t>
  </si>
  <si>
    <t xml:space="preserve">予算内で手作業を残す社を選ぶ</t>
  </si>
  <si>
    <t xml:space="preserve">T56</t>
  </si>
  <si>
    <t xml:space="preserve">契約を分けて結ぶ（利用／導入支援、準委任／請負、段階）</t>
  </si>
  <si>
    <t xml:space="preserve">固まっていない段階で一年分を約束しない</t>
  </si>
  <si>
    <t xml:space="preserve">時間で払う・成果で払う／三か月で区切る</t>
  </si>
  <si>
    <t xml:space="preserve">準委任／請負／多段階契約</t>
  </si>
  <si>
    <t xml:space="preserve">契約書、責任分界表、契約チェックリスト</t>
  </si>
  <si>
    <t xml:space="preserve">利用契約、導入支援契約（準委任、月次成果確認）、保守契約、期間</t>
  </si>
  <si>
    <t xml:space="preserve">導入支援と保守が分かれ、準委任には月次の成果確認会がある</t>
  </si>
  <si>
    <t xml:space="preserve">要件が変わるたびに追加見積（請負）</t>
  </si>
  <si>
    <t xml:space="preserve">T57</t>
  </si>
  <si>
    <r>
      <rPr>
        <sz val="10"/>
        <rFont val="WenQuanYi Zen Hei"/>
        <family val="2"/>
      </rPr>
      <t xml:space="preserve">見積内訳・責任分界点・出口条項・</t>
    </r>
    <r>
      <rPr>
        <sz val="10"/>
        <rFont val="Arial"/>
        <family val="0"/>
        <charset val="1"/>
      </rPr>
      <t xml:space="preserve">SLA </t>
    </r>
    <r>
      <rPr>
        <sz val="10"/>
        <rFont val="WenQuanYi Zen Hei"/>
        <family val="2"/>
      </rPr>
      <t xml:space="preserve">を確認する</t>
    </r>
  </si>
  <si>
    <t xml:space="preserve">「一式」を認めない。境目と出口を契約書に書く</t>
  </si>
  <si>
    <r>
      <rPr>
        <sz val="10"/>
        <rFont val="WenQuanYi Zen Hei"/>
        <family val="2"/>
      </rPr>
      <t xml:space="preserve">一式／責任の境目／出口／</t>
    </r>
    <r>
      <rPr>
        <sz val="10"/>
        <rFont val="Arial"/>
        <family val="0"/>
        <charset val="1"/>
      </rPr>
      <t xml:space="preserve">99.5%</t>
    </r>
  </si>
  <si>
    <r>
      <rPr>
        <sz val="10"/>
        <rFont val="WenQuanYi Zen Hei"/>
        <family val="2"/>
      </rPr>
      <t xml:space="preserve">見積内訳／責任分界点／出口条項・データの帰属／</t>
    </r>
    <r>
      <rPr>
        <sz val="10"/>
        <rFont val="Arial"/>
        <family val="0"/>
        <charset val="1"/>
      </rPr>
      <t xml:space="preserve">SLA</t>
    </r>
  </si>
  <si>
    <r>
      <rPr>
        <sz val="10"/>
        <rFont val="WenQuanYi Zen Hei"/>
        <family val="2"/>
      </rPr>
      <t xml:space="preserve">作業別人日と単価、責任の境目、全件エクスポート・期限・形式・成果物の帰属、</t>
    </r>
    <r>
      <rPr>
        <sz val="10"/>
        <rFont val="Arial"/>
        <family val="0"/>
        <charset val="1"/>
      </rPr>
      <t xml:space="preserve">SLA </t>
    </r>
    <r>
      <rPr>
        <sz val="10"/>
        <rFont val="WenQuanYi Zen Hei"/>
        <family val="2"/>
      </rPr>
      <t xml:space="preserve">と止まったときの手</t>
    </r>
  </si>
  <si>
    <r>
      <rPr>
        <sz val="10"/>
        <rFont val="WenQuanYi Zen Hei"/>
        <family val="2"/>
      </rPr>
      <t xml:space="preserve">内訳が行ごとに分かれ、境目・出口・</t>
    </r>
    <r>
      <rPr>
        <sz val="10"/>
        <rFont val="Arial"/>
        <family val="0"/>
        <charset val="1"/>
      </rPr>
      <t xml:space="preserve">SLA </t>
    </r>
    <r>
      <rPr>
        <sz val="10"/>
        <rFont val="WenQuanYi Zen Hei"/>
        <family val="2"/>
      </rPr>
      <t xml:space="preserve">の三点が契約書に反映されている</t>
    </r>
  </si>
  <si>
    <t xml:space="preserve">ロックイン／境目の不具合で両方が「うちじゃない」</t>
  </si>
  <si>
    <t xml:space="preserve">T58</t>
  </si>
  <si>
    <r>
      <rPr>
        <sz val="10"/>
        <rFont val="Arial"/>
        <family val="0"/>
        <charset val="1"/>
      </rPr>
      <t xml:space="preserve">12</t>
    </r>
    <r>
      <rPr>
        <sz val="10"/>
        <rFont val="WenQuanYi Zen Hei"/>
        <family val="2"/>
      </rPr>
      <t xml:space="preserve">月</t>
    </r>
  </si>
  <si>
    <t xml:space="preserve">基本設計書を作り、使う側が承認する</t>
  </si>
  <si>
    <t xml:space="preserve">設定してから見せると「思っていたのと違う」が三百回</t>
  </si>
  <si>
    <t xml:space="preserve">紙で合意</t>
  </si>
  <si>
    <t xml:space="preserve">基本設計（外部設計）</t>
  </si>
  <si>
    <r>
      <rPr>
        <sz val="10"/>
        <rFont val="WenQuanYi Zen Hei"/>
        <family val="2"/>
      </rPr>
      <t xml:space="preserve">基本設計書 </t>
    </r>
    <r>
      <rPr>
        <sz val="10"/>
        <rFont val="Arial"/>
        <family val="0"/>
        <charset val="1"/>
      </rPr>
      <t xml:space="preserve">v1.0</t>
    </r>
  </si>
  <si>
    <r>
      <rPr>
        <sz val="10"/>
        <rFont val="WenQuanYi Zen Hei"/>
        <family val="2"/>
      </rPr>
      <t xml:space="preserve">業務フロー（</t>
    </r>
    <r>
      <rPr>
        <sz val="10"/>
        <rFont val="Arial"/>
        <family val="0"/>
        <charset val="1"/>
      </rPr>
      <t xml:space="preserve">To-Be </t>
    </r>
    <r>
      <rPr>
        <sz val="10"/>
        <rFont val="WenQuanYi Zen Hei"/>
        <family val="2"/>
      </rPr>
      <t xml:space="preserve">詳細）、画面設計、帳票設計、</t>
    </r>
    <r>
      <rPr>
        <sz val="10"/>
        <rFont val="Arial"/>
        <family val="0"/>
        <charset val="1"/>
      </rPr>
      <t xml:space="preserve">IF </t>
    </r>
    <r>
      <rPr>
        <sz val="10"/>
        <rFont val="WenQuanYi Zen Hei"/>
        <family val="2"/>
      </rPr>
      <t xml:space="preserve">設計、データ設計、版</t>
    </r>
  </si>
  <si>
    <t xml:space="preserve">ベンダー</t>
  </si>
  <si>
    <t xml:space="preserve">業務オーナーが読んで承認した記録と版がある</t>
  </si>
  <si>
    <t xml:space="preserve">作る側の内部（詳細設計）まで使う側に読ませる</t>
  </si>
  <si>
    <r>
      <rPr>
        <sz val="10"/>
        <rFont val="Arial"/>
        <family val="0"/>
        <charset val="1"/>
      </rPr>
      <t xml:space="preserve">6.2 </t>
    </r>
    <r>
      <rPr>
        <sz val="10"/>
        <rFont val="WenQuanYi Zen Hei"/>
        <family val="2"/>
      </rPr>
      <t xml:space="preserve">第五章</t>
    </r>
  </si>
  <si>
    <t xml:space="preserve">T59</t>
  </si>
  <si>
    <t xml:space="preserve">異常系と端の値を設計し、受ける側の冪等性を確かめる</t>
  </si>
  <si>
    <t xml:space="preserve">設計書の価値は異常時に何をするか。再送する側を直すだけでは足りない</t>
  </si>
  <si>
    <t xml:space="preserve">エラーの行／二回届いても一回分</t>
  </si>
  <si>
    <t xml:space="preserve">異常系設計／冪等性</t>
  </si>
  <si>
    <t xml:space="preserve">応答なし・処理中・品番不明の扱い、再送条件、相手側の重複拒否条件、数量の端</t>
  </si>
  <si>
    <t xml:space="preserve">開発、ベンダー</t>
  </si>
  <si>
    <r>
      <rPr>
        <sz val="10"/>
        <rFont val="WenQuanYi Zen Hei"/>
        <family val="2"/>
      </rPr>
      <t xml:space="preserve">全 </t>
    </r>
    <r>
      <rPr>
        <sz val="10"/>
        <rFont val="Arial"/>
        <family val="0"/>
        <charset val="1"/>
      </rPr>
      <t xml:space="preserve">IF </t>
    </r>
    <r>
      <rPr>
        <sz val="10"/>
        <rFont val="WenQuanYi Zen Hei"/>
        <family val="2"/>
      </rPr>
      <t xml:space="preserve">にエラー行があり、相手側の重複チェックの条件（どの状態を見るか）まで確認済み</t>
    </r>
  </si>
  <si>
    <t xml:space="preserve">「受注番号で弾けます」を聞いて、処理中の状態が抜ける</t>
  </si>
  <si>
    <t xml:space="preserve">T60</t>
  </si>
  <si>
    <t xml:space="preserve">トランザクション・監査ログ・権限を設計する</t>
  </si>
  <si>
    <t xml:space="preserve">半分だけ残さない。誰がいつ何をしたかを残す</t>
  </si>
  <si>
    <t xml:space="preserve">一つの単位／じっくりの記録</t>
  </si>
  <si>
    <t xml:space="preserve">トランザクション整合性／監査ログ／権限設計</t>
  </si>
  <si>
    <t xml:space="preserve">一つの単位で扱う操作、監査ログの項目、役割別の権限</t>
  </si>
  <si>
    <t xml:space="preserve">受注と引当が一つの単位で、監査ログが標準で残る設定になっている</t>
  </si>
  <si>
    <t xml:space="preserve">片方だけ残って在庫と受注が合わない</t>
  </si>
  <si>
    <t xml:space="preserve">T61</t>
  </si>
  <si>
    <t xml:space="preserve">設計レビューで「決めていなかったこと」を業務オーナーに決めさせる</t>
  </si>
  <si>
    <t xml:space="preserve">現場を数えた人がレビューに出る。決めた人の名前を記録</t>
  </si>
  <si>
    <t xml:space="preserve">決めていなかったこと</t>
  </si>
  <si>
    <t xml:space="preserve">設計レビュー</t>
  </si>
  <si>
    <t xml:space="preserve">レビュー記録（決定者付き）</t>
  </si>
  <si>
    <t xml:space="preserve">指摘、決めていなかったこと、決定内容、決定者、日付、所要時間</t>
  </si>
  <si>
    <t xml:space="preserve">決めていなかったこと全件に決定者の名前がある</t>
  </si>
  <si>
    <r>
      <rPr>
        <sz val="10"/>
        <rFont val="WenQuanYi Zen Hei"/>
        <family val="2"/>
      </rPr>
      <t xml:space="preserve">ベンダーや </t>
    </r>
    <r>
      <rPr>
        <sz val="10"/>
        <rFont val="Arial"/>
        <family val="0"/>
        <charset val="1"/>
      </rPr>
      <t xml:space="preserve">PM </t>
    </r>
    <r>
      <rPr>
        <sz val="10"/>
        <rFont val="WenQuanYi Zen Hei"/>
        <family val="2"/>
      </rPr>
      <t xml:space="preserve">が決めてしまう／後で現場から「違う」</t>
    </r>
  </si>
  <si>
    <t xml:space="preserve">T62</t>
  </si>
  <si>
    <t xml:space="preserve">本物の画面を三つ先に設定して触ってもらう</t>
  </si>
  <si>
    <t xml:space="preserve">借りるなら描かず、本物の一部で試す</t>
  </si>
  <si>
    <t xml:space="preserve">本物の一部</t>
  </si>
  <si>
    <t xml:space="preserve">プロトタイプ（設定型）</t>
  </si>
  <si>
    <t xml:space="preserve">プロトタイプ確認記録</t>
  </si>
  <si>
    <t xml:space="preserve">対象画面、触った人、指摘</t>
  </si>
  <si>
    <t xml:space="preserve">一番仕事が変わる人が本物の画面で確認した</t>
  </si>
  <si>
    <t xml:space="preserve">紙で描いた絵に慣れて本物で「違う」</t>
  </si>
  <si>
    <t xml:space="preserve">T63</t>
  </si>
  <si>
    <t xml:space="preserve">設計書に版を付けて承認する</t>
  </si>
  <si>
    <t xml:space="preserve">どの版で合意したかが変更の起点</t>
  </si>
  <si>
    <t xml:space="preserve">版</t>
  </si>
  <si>
    <t xml:space="preserve">設計の版管理（構成管理）</t>
  </si>
  <si>
    <t xml:space="preserve">版、承認日、承認者、設定値の版</t>
  </si>
  <si>
    <t xml:space="preserve">表紙に版・日付・承認者があり、設定値が版と紐づく</t>
  </si>
  <si>
    <t xml:space="preserve">変更要求が何からの変更か分からなくなる</t>
  </si>
  <si>
    <t xml:space="preserve">T64</t>
  </si>
  <si>
    <r>
      <rPr>
        <sz val="10"/>
        <rFont val="Arial"/>
        <family val="0"/>
        <charset val="1"/>
      </rPr>
      <t xml:space="preserve">1</t>
    </r>
    <r>
      <rPr>
        <sz val="10"/>
        <rFont val="WenQuanYi Zen Hei"/>
        <family val="2"/>
      </rPr>
      <t xml:space="preserve">〜</t>
    </r>
    <r>
      <rPr>
        <sz val="10"/>
        <rFont val="Arial"/>
        <family val="0"/>
        <charset val="1"/>
      </rPr>
      <t xml:space="preserve">2</t>
    </r>
    <r>
      <rPr>
        <sz val="10"/>
        <rFont val="WenQuanYi Zen Hei"/>
        <family val="2"/>
      </rPr>
      <t xml:space="preserve">月</t>
    </r>
  </si>
  <si>
    <r>
      <rPr>
        <sz val="10"/>
        <rFont val="Arial"/>
        <family val="0"/>
        <charset val="1"/>
      </rPr>
      <t xml:space="preserve">WBS </t>
    </r>
    <r>
      <rPr>
        <sz val="10"/>
        <rFont val="WenQuanYi Zen Hei"/>
        <family val="2"/>
      </rPr>
      <t xml:space="preserve">を作り、クリティカルパスと節目を置く</t>
    </r>
  </si>
  <si>
    <t xml:space="preserve">一日遅れたら期限が遅れる列に予備を置く。節目は一文で</t>
  </si>
  <si>
    <t xml:space="preserve">一枚の表／一日遅れたら／節目の一文</t>
  </si>
  <si>
    <r>
      <rPr>
        <sz val="10"/>
        <rFont val="Arial"/>
        <family val="0"/>
        <charset val="1"/>
      </rPr>
      <t xml:space="preserve">WBS</t>
    </r>
    <r>
      <rPr>
        <sz val="10"/>
        <rFont val="WenQuanYi Zen Hei"/>
        <family val="2"/>
      </rPr>
      <t xml:space="preserve">／クリティカルパス／マイルストーン</t>
    </r>
  </si>
  <si>
    <t xml:space="preserve">WBS</t>
  </si>
  <si>
    <r>
      <rPr>
        <sz val="10"/>
        <rFont val="WenQuanYi Zen Hei"/>
        <family val="2"/>
      </rPr>
      <t xml:space="preserve">作業 </t>
    </r>
    <r>
      <rPr>
        <sz val="10"/>
        <rFont val="Arial"/>
        <family val="0"/>
        <charset val="1"/>
      </rPr>
      <t xml:space="preserve">ID</t>
    </r>
    <r>
      <rPr>
        <sz val="10"/>
        <rFont val="WenQuanYi Zen Hei"/>
        <family val="2"/>
      </rPr>
      <t xml:space="preserve">、担当、予定終了、状況、備考、クリティカルパス、節目と通過条件</t>
    </r>
  </si>
  <si>
    <t xml:space="preserve">クリティカルパスに外部日程（相手先の切替）が含まれ、節目に通過条件が書いてある</t>
  </si>
  <si>
    <t xml:space="preserve">全部に予備を置いて全部使い切る／日付だけの節目</t>
  </si>
  <si>
    <r>
      <rPr>
        <sz val="10"/>
        <rFont val="Arial"/>
        <family val="0"/>
        <charset val="1"/>
      </rPr>
      <t xml:space="preserve">6.2 </t>
    </r>
    <r>
      <rPr>
        <sz val="10"/>
        <rFont val="WenQuanYi Zen Hei"/>
        <family val="2"/>
      </rPr>
      <t xml:space="preserve">第六章</t>
    </r>
  </si>
  <si>
    <t xml:space="preserve">T65</t>
  </si>
  <si>
    <t xml:space="preserve">残りを三つの数字で見積もる</t>
  </si>
  <si>
    <t xml:space="preserve">楽観・最頻・悲観。表には悲観で置く</t>
  </si>
  <si>
    <t xml:space="preserve">三つの数字</t>
  </si>
  <si>
    <t xml:space="preserve">三点見積／バッファ管理</t>
  </si>
  <si>
    <t xml:space="preserve">作業、楽観、最頻、悲観、採用値</t>
  </si>
  <si>
    <t xml:space="preserve">表の予定が悲観値で置かれている</t>
  </si>
  <si>
    <t xml:space="preserve">余裕があると着手が遅れる（学生症候群）</t>
  </si>
  <si>
    <t xml:space="preserve">T66</t>
  </si>
  <si>
    <t xml:space="preserve">週次進捗会を作業の名前で回す</t>
  </si>
  <si>
    <t xml:space="preserve">割合で聞かない。担当が解けない原因を代わりに解く</t>
  </si>
  <si>
    <t xml:space="preserve">作業の名前／九割</t>
  </si>
  <si>
    <t xml:space="preserve">進捗管理／進捗会</t>
  </si>
  <si>
    <t xml:space="preserve">進捗表</t>
  </si>
  <si>
    <r>
      <rPr>
        <sz val="10"/>
        <rFont val="WenQuanYi Zen Hei"/>
        <family val="2"/>
      </rPr>
      <t xml:space="preserve">作業、残っている作業の名前、担当が解けない障害、</t>
    </r>
    <r>
      <rPr>
        <sz val="10"/>
        <rFont val="Arial"/>
        <family val="0"/>
        <charset val="1"/>
      </rPr>
      <t xml:space="preserve">PM </t>
    </r>
    <r>
      <rPr>
        <sz val="10"/>
        <rFont val="WenQuanYi Zen Hei"/>
        <family val="2"/>
      </rPr>
      <t xml:space="preserve">の手</t>
    </r>
  </si>
  <si>
    <t xml:space="preserve">「九割」が出たら残作業が名前で書かれている</t>
  </si>
  <si>
    <t xml:space="preserve">「九割」が二週続く（＝五割）</t>
  </si>
  <si>
    <t xml:space="preserve">T67</t>
  </si>
  <si>
    <t xml:space="preserve">課題管理表とリスク管理表を分けて持つ</t>
  </si>
  <si>
    <t xml:space="preserve">起きたら移す</t>
  </si>
  <si>
    <t xml:space="preserve">起きている表・起きていない表</t>
  </si>
  <si>
    <t xml:space="preserve">課題管理／リスク管理</t>
  </si>
  <si>
    <t xml:space="preserve">課題管理表、リスク管理表</t>
  </si>
  <si>
    <r>
      <rPr>
        <sz val="10"/>
        <rFont val="Arial"/>
        <family val="0"/>
        <charset val="1"/>
      </rPr>
      <t xml:space="preserve">ID</t>
    </r>
    <r>
      <rPr>
        <sz val="10"/>
        <rFont val="WenQuanYi Zen Hei"/>
        <family val="2"/>
      </rPr>
      <t xml:space="preserve">、内容、担当、期限、状態／リスク、確率、影響、先に打つ手</t>
    </r>
  </si>
  <si>
    <t xml:space="preserve">二枚が分かれ、起きたリスクが課題へ移っている</t>
  </si>
  <si>
    <t xml:space="preserve">一枚に混ぜて何が起きているか分からない</t>
  </si>
  <si>
    <t xml:space="preserve">T68</t>
  </si>
  <si>
    <t xml:space="preserve">伝え方の表（コミュニケーション計画）を作る</t>
  </si>
  <si>
    <t xml:space="preserve">誰に・いつ・何を。関心は二か月で消える</t>
  </si>
  <si>
    <t xml:space="preserve">伝え方の表</t>
  </si>
  <si>
    <t xml:space="preserve">コミュニケーション計画</t>
  </si>
  <si>
    <t xml:space="preserve">頻度、相手、手段、内容（現場向け一枚、ステコミ、相手先、影響大・関心低の人）</t>
  </si>
  <si>
    <t xml:space="preserve">現場（一番仕事が変わる人）への定期の一枚が入っている</t>
  </si>
  <si>
    <t xml:space="preserve">「何か決まったらしい」になる</t>
  </si>
  <si>
    <t xml:space="preserve">T69</t>
  </si>
  <si>
    <t xml:space="preserve">変更要求を手順に乗せる</t>
  </si>
  <si>
    <t xml:space="preserve">影響を見て決める場で決める。直接頼むと五回で破綻</t>
  </si>
  <si>
    <t xml:space="preserve">手順を通す</t>
  </si>
  <si>
    <r>
      <rPr>
        <sz val="10"/>
        <rFont val="WenQuanYi Zen Hei"/>
        <family val="2"/>
      </rPr>
      <t xml:space="preserve">変更管理（</t>
    </r>
    <r>
      <rPr>
        <sz val="10"/>
        <rFont val="Arial"/>
        <family val="0"/>
        <charset val="1"/>
      </rPr>
      <t xml:space="preserve">CR</t>
    </r>
    <r>
      <rPr>
        <sz val="10"/>
        <rFont val="WenQuanYi Zen Hei"/>
        <family val="2"/>
      </rPr>
      <t xml:space="preserve">）</t>
    </r>
  </si>
  <si>
    <t xml:space="preserve">変更要求票</t>
  </si>
  <si>
    <t xml:space="preserve">内容、要求者、理由、影響（工数・費用・日程）、判断の場、結果</t>
  </si>
  <si>
    <t xml:space="preserve">全変更に影響と判断結果が残っている</t>
  </si>
  <si>
    <r>
      <rPr>
        <sz val="10"/>
        <rFont val="Arial"/>
        <family val="0"/>
        <charset val="1"/>
      </rPr>
      <t xml:space="preserve">PM </t>
    </r>
    <r>
      <rPr>
        <sz val="10"/>
        <rFont val="WenQuanYi Zen Hei"/>
        <family val="2"/>
      </rPr>
      <t xml:space="preserve">がベンダーに直接頼む</t>
    </r>
  </si>
  <si>
    <t xml:space="preserve">T70</t>
  </si>
  <si>
    <r>
      <rPr>
        <sz val="10"/>
        <rFont val="WenQuanYi Zen Hei"/>
        <family val="2"/>
      </rPr>
      <t xml:space="preserve">担当が解けない障害を </t>
    </r>
    <r>
      <rPr>
        <sz val="10"/>
        <rFont val="Arial"/>
        <family val="0"/>
        <charset val="1"/>
      </rPr>
      <t xml:space="preserve">PM </t>
    </r>
    <r>
      <rPr>
        <sz val="10"/>
        <rFont val="WenQuanYi Zen Hei"/>
        <family val="2"/>
      </rPr>
      <t xml:space="preserve">が除く</t>
    </r>
  </si>
  <si>
    <t xml:space="preserve">テスト環境の交渉など</t>
  </si>
  <si>
    <t xml:space="preserve">代わりに解決する</t>
  </si>
  <si>
    <r>
      <rPr>
        <sz val="10"/>
        <rFont val="WenQuanYi Zen Hei"/>
        <family val="2"/>
      </rPr>
      <t xml:space="preserve">障害除去（</t>
    </r>
    <r>
      <rPr>
        <sz val="10"/>
        <rFont val="Arial"/>
        <family val="0"/>
        <charset val="1"/>
      </rPr>
      <t xml:space="preserve">Kotter 5</t>
    </r>
    <r>
      <rPr>
        <sz val="10"/>
        <rFont val="WenQuanYi Zen Hei"/>
        <family val="2"/>
      </rPr>
      <t xml:space="preserve">）</t>
    </r>
  </si>
  <si>
    <t xml:space="preserve">障害、交渉先、結果、費用</t>
  </si>
  <si>
    <r>
      <rPr>
        <sz val="10"/>
        <rFont val="WenQuanYi Zen Hei"/>
        <family val="2"/>
      </rPr>
      <t xml:space="preserve">障害が担当ではなく </t>
    </r>
    <r>
      <rPr>
        <sz val="10"/>
        <rFont val="Arial"/>
        <family val="0"/>
        <charset val="1"/>
      </rPr>
      <t xml:space="preserve">PM </t>
    </r>
    <r>
      <rPr>
        <sz val="10"/>
        <rFont val="WenQuanYi Zen Hei"/>
        <family val="2"/>
      </rPr>
      <t xml:space="preserve">の手で解けた記録がある</t>
    </r>
  </si>
  <si>
    <t xml:space="preserve">担当を責めて遅れが隠れる</t>
  </si>
  <si>
    <t xml:space="preserve">T71</t>
  </si>
  <si>
    <t xml:space="preserve">連携は一発、画面は小さく回す</t>
  </si>
  <si>
    <t xml:space="preserve">固まる部分は上から、固まらない部分は反復</t>
  </si>
  <si>
    <t xml:space="preserve">連携は一発、画面は小さく／上から流す・短く回す</t>
  </si>
  <si>
    <t xml:space="preserve">ハイブリッド開発／ウォーターフォール・アジャイル</t>
  </si>
  <si>
    <t xml:space="preserve">反復記録</t>
  </si>
  <si>
    <t xml:space="preserve">週ごとの設定→触る→直す、対象画面</t>
  </si>
  <si>
    <t xml:space="preserve">画面が週次で現場と回され、連携の仕様は凍結されている</t>
  </si>
  <si>
    <t xml:space="preserve">全部を短く回して連携先が困る</t>
  </si>
  <si>
    <t xml:space="preserve">T72</t>
  </si>
  <si>
    <r>
      <rPr>
        <sz val="10"/>
        <rFont val="Arial"/>
        <family val="0"/>
        <charset val="1"/>
      </rPr>
      <t xml:space="preserve">2</t>
    </r>
    <r>
      <rPr>
        <sz val="10"/>
        <rFont val="WenQuanYi Zen Hei"/>
        <family val="2"/>
      </rPr>
      <t xml:space="preserve">〜</t>
    </r>
    <r>
      <rPr>
        <sz val="10"/>
        <rFont val="Arial"/>
        <family val="0"/>
        <charset val="1"/>
      </rPr>
      <t xml:space="preserve">3</t>
    </r>
    <r>
      <rPr>
        <sz val="10"/>
        <rFont val="WenQuanYi Zen Hei"/>
        <family val="2"/>
      </rPr>
      <t xml:space="preserve">月</t>
    </r>
  </si>
  <si>
    <t xml:space="preserve">テスト計画を一枚で作る</t>
  </si>
  <si>
    <t xml:space="preserve">観点・範囲・環境・データ・体制・合格基準</t>
  </si>
  <si>
    <t xml:space="preserve">一枚の紙</t>
  </si>
  <si>
    <t xml:space="preserve">テスト計画</t>
  </si>
  <si>
    <t xml:space="preserve">観点、範囲、環境、データ、体制、合格基準、四段階の担当</t>
  </si>
  <si>
    <r>
      <rPr>
        <sz val="10"/>
        <rFont val="WenQuanYi Zen Hei"/>
        <family val="2"/>
      </rPr>
      <t xml:space="preserve">ベンダー、</t>
    </r>
    <r>
      <rPr>
        <sz val="10"/>
        <rFont val="Arial"/>
        <family val="0"/>
        <charset val="1"/>
      </rPr>
      <t xml:space="preserve">PMO</t>
    </r>
  </si>
  <si>
    <r>
      <rPr>
        <sz val="10"/>
        <rFont val="WenQuanYi Zen Hei"/>
        <family val="2"/>
      </rPr>
      <t xml:space="preserve">一枚で、四段階（単体・結合・システム・</t>
    </r>
    <r>
      <rPr>
        <sz val="10"/>
        <rFont val="Arial"/>
        <family val="0"/>
        <charset val="1"/>
      </rPr>
      <t xml:space="preserve">UAT</t>
    </r>
    <r>
      <rPr>
        <sz val="10"/>
        <rFont val="WenQuanYi Zen Hei"/>
        <family val="2"/>
      </rPr>
      <t xml:space="preserve">）の担当と合格基準が書いてある</t>
    </r>
  </si>
  <si>
    <t xml:space="preserve">十枚書いて誰も読まない</t>
  </si>
  <si>
    <r>
      <rPr>
        <sz val="10"/>
        <rFont val="Arial"/>
        <family val="0"/>
        <charset val="1"/>
      </rPr>
      <t xml:space="preserve">6.2 </t>
    </r>
    <r>
      <rPr>
        <sz val="10"/>
        <rFont val="WenQuanYi Zen Hei"/>
        <family val="2"/>
      </rPr>
      <t xml:space="preserve">第七章（第六章）</t>
    </r>
  </si>
  <si>
    <t xml:space="preserve">T73</t>
  </si>
  <si>
    <t xml:space="preserve">シナリオを正常・異常・端の値で書く</t>
  </si>
  <si>
    <r>
      <rPr>
        <sz val="10"/>
        <rFont val="WenQuanYi Zen Hei"/>
        <family val="2"/>
      </rPr>
      <t xml:space="preserve">業務を一巡させ、異常系と端（</t>
    </r>
    <r>
      <rPr>
        <sz val="10"/>
        <rFont val="Arial"/>
        <family val="0"/>
        <charset val="1"/>
      </rPr>
      <t xml:space="preserve">0</t>
    </r>
    <r>
      <rPr>
        <sz val="10"/>
        <rFont val="WenQuanYi Zen Hei"/>
        <family val="2"/>
      </rPr>
      <t xml:space="preserve">・マイナス・</t>
    </r>
    <r>
      <rPr>
        <sz val="10"/>
        <rFont val="Arial"/>
        <family val="0"/>
        <charset val="1"/>
      </rPr>
      <t xml:space="preserve">999</t>
    </r>
    <r>
      <rPr>
        <sz val="10"/>
        <rFont val="WenQuanYi Zen Hei"/>
        <family val="2"/>
      </rPr>
      <t xml:space="preserve">・全角）を別に試す</t>
    </r>
  </si>
  <si>
    <t xml:space="preserve">一本の流れ／端の値／エラーの行</t>
  </si>
  <si>
    <t xml:space="preserve">シナリオテスト／境界値テスト／異常系</t>
  </si>
  <si>
    <t xml:space="preserve">テストシナリオ</t>
  </si>
  <si>
    <r>
      <rPr>
        <sz val="10"/>
        <rFont val="WenQuanYi Zen Hei"/>
        <family val="2"/>
      </rPr>
      <t xml:space="preserve">シナリオ </t>
    </r>
    <r>
      <rPr>
        <sz val="10"/>
        <rFont val="Arial"/>
        <family val="0"/>
        <charset val="1"/>
      </rPr>
      <t xml:space="preserve">ID</t>
    </r>
    <r>
      <rPr>
        <sz val="10"/>
        <rFont val="WenQuanYi Zen Hei"/>
        <family val="2"/>
      </rPr>
      <t xml:space="preserve">、手順、確認点、異常系、端の値、二百足の手順</t>
    </r>
  </si>
  <si>
    <t xml:space="preserve">異常系と端の値のシナリオが正常系と別番号である</t>
  </si>
  <si>
    <t xml:space="preserve">正常系だけ試して本番で初めて動きを知る</t>
  </si>
  <si>
    <t xml:space="preserve">T74</t>
  </si>
  <si>
    <t xml:space="preserve">結合テストと不具合管理</t>
  </si>
  <si>
    <t xml:space="preserve">発見・原因・対策・担当・期限・状態</t>
  </si>
  <si>
    <t xml:space="preserve">不具合の表</t>
  </si>
  <si>
    <t xml:space="preserve">不具合管理</t>
  </si>
  <si>
    <t xml:space="preserve">不具合管理表</t>
  </si>
  <si>
    <r>
      <rPr>
        <sz val="10"/>
        <rFont val="Arial"/>
        <family val="0"/>
        <charset val="1"/>
      </rPr>
      <t xml:space="preserve">ID</t>
    </r>
    <r>
      <rPr>
        <sz val="10"/>
        <rFont val="WenQuanYi Zen Hei"/>
        <family val="2"/>
      </rPr>
      <t xml:space="preserve">、発見、内容、原因、対策、担当、期限、状態、傾向</t>
    </r>
  </si>
  <si>
    <t xml:space="preserve">全不具合に原因と対策があり、同じ箇所への集中が見えている</t>
  </si>
  <si>
    <t xml:space="preserve">原因を書かず直す</t>
  </si>
  <si>
    <t xml:space="preserve">T75</t>
  </si>
  <si>
    <t xml:space="preserve">直すたびに全部流す（回帰）</t>
  </si>
  <si>
    <t xml:space="preserve">直すと隣が壊れる</t>
  </si>
  <si>
    <t xml:space="preserve">回帰テスト</t>
  </si>
  <si>
    <t xml:space="preserve">回帰テスト記録</t>
  </si>
  <si>
    <t xml:space="preserve">修正、再実行したシナリオ、新たな不具合</t>
  </si>
  <si>
    <t xml:space="preserve">修正後に全シナリオが再実行されている</t>
  </si>
  <si>
    <t xml:space="preserve">直したところだけ試す</t>
  </si>
  <si>
    <t xml:space="preserve">T76</t>
  </si>
  <si>
    <t xml:space="preserve">月末ピークで性能を確かめる</t>
  </si>
  <si>
    <t xml:space="preserve">非機能に書いた件数で、月末が来る前に流す</t>
  </si>
  <si>
    <t xml:space="preserve">月末の三倍</t>
  </si>
  <si>
    <t xml:space="preserve">性能テスト</t>
  </si>
  <si>
    <t xml:space="preserve">性能テスト結果</t>
  </si>
  <si>
    <t xml:space="preserve">件数、応答時間、結果</t>
  </si>
  <si>
    <t xml:space="preserve">非機能要件のピーク件数で応答が確かめられている</t>
  </si>
  <si>
    <t xml:space="preserve">平日件数で試して月末に落ちる</t>
  </si>
  <si>
    <t xml:space="preserve">T77</t>
  </si>
  <si>
    <r>
      <rPr>
        <sz val="10"/>
        <rFont val="Arial"/>
        <family val="0"/>
        <charset val="1"/>
      </rPr>
      <t xml:space="preserve">UAT </t>
    </r>
    <r>
      <rPr>
        <sz val="10"/>
        <rFont val="WenQuanYi Zen Hei"/>
        <family val="2"/>
      </rPr>
      <t xml:space="preserve">を合格基準で判定し署名を得る</t>
    </r>
  </si>
  <si>
    <t xml:space="preserve">業務の人が自分の業務として使う。基準は先に</t>
  </si>
  <si>
    <t xml:space="preserve">合格の条件</t>
  </si>
  <si>
    <r>
      <rPr>
        <sz val="10"/>
        <rFont val="Arial"/>
        <family val="0"/>
        <charset val="1"/>
      </rPr>
      <t xml:space="preserve">UAT </t>
    </r>
    <r>
      <rPr>
        <sz val="10"/>
        <rFont val="WenQuanYi Zen Hei"/>
        <family val="2"/>
      </rPr>
      <t xml:space="preserve">合格基準</t>
    </r>
  </si>
  <si>
    <r>
      <rPr>
        <sz val="10"/>
        <rFont val="Arial"/>
        <family val="0"/>
        <charset val="1"/>
      </rPr>
      <t xml:space="preserve">UAT </t>
    </r>
    <r>
      <rPr>
        <sz val="10"/>
        <rFont val="WenQuanYi Zen Hei"/>
        <family val="2"/>
      </rPr>
      <t xml:space="preserve">合格報告</t>
    </r>
  </si>
  <si>
    <t xml:space="preserve">基準（致命ゼロ、重大は回避策付き三件以下）、結果、回避策、業務オーナーの署名</t>
  </si>
  <si>
    <t xml:space="preserve">四人の署名があり、重大不具合の回避策が文書化されている</t>
  </si>
  <si>
    <t xml:space="preserve">綺麗なデータだけで試して略称を拾えない</t>
  </si>
  <si>
    <t xml:space="preserve">T78</t>
  </si>
  <si>
    <r>
      <rPr>
        <sz val="10"/>
        <rFont val="Arial"/>
        <family val="0"/>
        <charset val="1"/>
      </rPr>
      <t xml:space="preserve">3</t>
    </r>
    <r>
      <rPr>
        <sz val="10"/>
        <rFont val="WenQuanYi Zen Hei"/>
        <family val="2"/>
      </rPr>
      <t xml:space="preserve">〜</t>
    </r>
    <r>
      <rPr>
        <sz val="10"/>
        <rFont val="Arial"/>
        <family val="0"/>
        <charset val="1"/>
      </rPr>
      <t xml:space="preserve">4</t>
    </r>
    <r>
      <rPr>
        <sz val="10"/>
        <rFont val="WenQuanYi Zen Hei"/>
        <family val="2"/>
      </rPr>
      <t xml:space="preserve">月</t>
    </r>
  </si>
  <si>
    <t xml:space="preserve">切替方式とロールバック基準を決める</t>
  </si>
  <si>
    <t xml:space="preserve">一発／並行／段階。戻す基準と判断者を先に</t>
  </si>
  <si>
    <t xml:space="preserve">部屋ごとに運ぶ／戻す基準</t>
  </si>
  <si>
    <t xml:space="preserve">移行方式（段階切替）／ロールバック計画</t>
  </si>
  <si>
    <t xml:space="preserve">切替計画書</t>
  </si>
  <si>
    <t xml:space="preserve">方式の比較、経路ごとの日程、ロールバック基準・判断者・戻し方</t>
  </si>
  <si>
    <t xml:space="preserve">経路ごとの日程と、戻す判断の期限・判断者が書いてある</t>
  </si>
  <si>
    <t xml:space="preserve">一晩で全部変えて全部止まる</t>
  </si>
  <si>
    <r>
      <rPr>
        <sz val="10"/>
        <rFont val="Arial"/>
        <family val="0"/>
        <charset val="1"/>
      </rPr>
      <t xml:space="preserve">6.2 </t>
    </r>
    <r>
      <rPr>
        <sz val="10"/>
        <rFont val="WenQuanYi Zen Hei"/>
        <family val="2"/>
      </rPr>
      <t xml:space="preserve">第七章</t>
    </r>
  </si>
  <si>
    <t xml:space="preserve">T79</t>
  </si>
  <si>
    <t xml:space="preserve">業務凍結とつなぎの手順を書く</t>
  </si>
  <si>
    <t xml:space="preserve">止めている間に来た注文の行き先。新旧が混ざる期間の手順</t>
  </si>
  <si>
    <t xml:space="preserve">止める時間／つなぎの手順</t>
  </si>
  <si>
    <t xml:space="preserve">業務凍結（フリーズ）／暫定業務（ブリッジ）</t>
  </si>
  <si>
    <t xml:space="preserve">業務凍結表、つなぎ手順</t>
  </si>
  <si>
    <t xml:space="preserve">止める時刻、写し取る時刻、凍結中の注文の受け方、混在期間の手順</t>
  </si>
  <si>
    <t xml:space="preserve">凍結中と混在期間に来た注文の扱いが書いてある</t>
  </si>
  <si>
    <r>
      <rPr>
        <sz val="10"/>
        <rFont val="WenQuanYi Zen Hei"/>
        <family val="2"/>
      </rPr>
      <t xml:space="preserve">月曜の朝に「金曜の </t>
    </r>
    <r>
      <rPr>
        <sz val="10"/>
        <rFont val="Arial"/>
        <family val="0"/>
        <charset val="1"/>
      </rPr>
      <t xml:space="preserve">FAX </t>
    </r>
    <r>
      <rPr>
        <sz val="10"/>
        <rFont val="WenQuanYi Zen Hei"/>
        <family val="2"/>
      </rPr>
      <t xml:space="preserve">はどこに入れる」</t>
    </r>
  </si>
  <si>
    <t xml:space="preserve">T80</t>
  </si>
  <si>
    <t xml:space="preserve">切替手順書を分で書き、四役を決める</t>
  </si>
  <si>
    <t xml:space="preserve">指揮・対応・連絡・記録。指揮は手を動かさない</t>
  </si>
  <si>
    <t xml:space="preserve">分で書く／四役</t>
  </si>
  <si>
    <t xml:space="preserve">切替手順書／切替当日の体制</t>
  </si>
  <si>
    <t xml:space="preserve">切替手順書、体制表</t>
  </si>
  <si>
    <t xml:space="preserve">時刻、担当、作業、件数・金額の照合、判定時刻、四役</t>
  </si>
  <si>
    <t xml:space="preserve">分単位の手順と四役があり、指揮が対応を兼ねていない</t>
  </si>
  <si>
    <t xml:space="preserve">指揮が対応を始めて誰も全体を見ない</t>
  </si>
  <si>
    <t xml:space="preserve">T81</t>
  </si>
  <si>
    <t xml:space="preserve">データ移行（変換の表、リハーサル二回、件数と金額の照合）</t>
  </si>
  <si>
    <t xml:space="preserve">一回目で壊れる場所、二回目で確認。手で直さず表で直す</t>
  </si>
  <si>
    <t xml:space="preserve">変換の表／二回やる／件数と金額</t>
  </si>
  <si>
    <t xml:space="preserve">データ移行の変換ルール／移行リハーサル／移行データ検証</t>
  </si>
  <si>
    <t xml:space="preserve">移行計画、変換ルール表、リハーサル結果</t>
  </si>
  <si>
    <t xml:space="preserve">対象データ、変換ルール（略称→正式名、廃番）、エラー内訳、対象外、件数・金額の照合</t>
  </si>
  <si>
    <t xml:space="preserve">開発</t>
  </si>
  <si>
    <t xml:space="preserve">二回目のエラーが基準以下で、件数と金額の両方が照合されている</t>
  </si>
  <si>
    <t xml:space="preserve">名寄せの残りを本番で手で直す</t>
  </si>
  <si>
    <t xml:space="preserve">T82</t>
  </si>
  <si>
    <t xml:space="preserve">周知する（社内・取引先・影響大関心低の人）</t>
  </si>
  <si>
    <t xml:space="preserve">「何も変わりません」を先に言う</t>
  </si>
  <si>
    <t xml:space="preserve">何も変わりません</t>
  </si>
  <si>
    <t xml:space="preserve">切替の周知</t>
  </si>
  <si>
    <t xml:space="preserve">周知文</t>
  </si>
  <si>
    <t xml:space="preserve">相手、内容、送る人、時期、返事</t>
  </si>
  <si>
    <t xml:space="preserve">影響大・関心低の相手に先に届いている</t>
  </si>
  <si>
    <t xml:space="preserve">切替日を知らない取引先が自分の都合で日程を決める</t>
  </si>
  <si>
    <t xml:space="preserve">T83</t>
  </si>
  <si>
    <r>
      <rPr>
        <sz val="10"/>
        <rFont val="WenQuanYi Zen Hei"/>
        <family val="2"/>
      </rPr>
      <t xml:space="preserve">教育を三回行い、マニュアルと </t>
    </r>
    <r>
      <rPr>
        <sz val="10"/>
        <rFont val="Arial"/>
        <family val="0"/>
        <charset val="1"/>
      </rPr>
      <t xml:space="preserve">FAQ </t>
    </r>
    <r>
      <rPr>
        <sz val="10"/>
        <rFont val="WenQuanYi Zen Hei"/>
        <family val="2"/>
      </rPr>
      <t xml:space="preserve">を用意する</t>
    </r>
  </si>
  <si>
    <t xml:space="preserve">説明会→ハンズオン→本番直前の再確認</t>
  </si>
  <si>
    <t xml:space="preserve">三回</t>
  </si>
  <si>
    <t xml:space="preserve">教育計画</t>
  </si>
  <si>
    <r>
      <rPr>
        <sz val="10"/>
        <rFont val="WenQuanYi Zen Hei"/>
        <family val="2"/>
      </rPr>
      <t xml:space="preserve">教育計画、マニュアル、</t>
    </r>
    <r>
      <rPr>
        <sz val="10"/>
        <rFont val="Arial"/>
        <family val="0"/>
        <charset val="1"/>
      </rPr>
      <t xml:space="preserve">FAQ</t>
    </r>
  </si>
  <si>
    <t xml:space="preserve">回数、日程、対象、内容、受講記録、マニュアル（経路ごと）</t>
  </si>
  <si>
    <r>
      <rPr>
        <sz val="10"/>
        <rFont val="Arial"/>
        <family val="0"/>
        <charset val="1"/>
      </rPr>
      <t xml:space="preserve">PMO</t>
    </r>
    <r>
      <rPr>
        <sz val="10"/>
        <rFont val="WenQuanYi Zen Hei"/>
        <family val="2"/>
      </rPr>
      <t xml:space="preserve">、ベンダー</t>
    </r>
  </si>
  <si>
    <t xml:space="preserve">全担当者が三回受講し、判定表に受講率が載っている</t>
  </si>
  <si>
    <t xml:space="preserve">説明会一回で終わる</t>
  </si>
  <si>
    <r>
      <rPr>
        <sz val="10"/>
        <rFont val="Arial"/>
        <family val="0"/>
        <charset val="1"/>
      </rPr>
      <t xml:space="preserve">6.2 </t>
    </r>
    <r>
      <rPr>
        <sz val="10"/>
        <rFont val="WenQuanYi Zen Hei"/>
        <family val="2"/>
      </rPr>
      <t xml:space="preserve">第七章・第八章</t>
    </r>
  </si>
  <si>
    <t xml:space="preserve">T84</t>
  </si>
  <si>
    <t xml:space="preserve">カットオーバー判定を表で行う</t>
  </si>
  <si>
    <t xml:space="preserve">項目と基準を先に決め、印鑑の欄を足す</t>
  </si>
  <si>
    <t xml:space="preserve">表で判定</t>
  </si>
  <si>
    <t xml:space="preserve">カットオーバー判定</t>
  </si>
  <si>
    <t xml:space="preserve">カットオーバー判定表</t>
  </si>
  <si>
    <t xml:space="preserve">項目、基準、実績、判定、判定者の印</t>
  </si>
  <si>
    <t xml:space="preserve">全項目に基準と実績があり、社長の印がある</t>
  </si>
  <si>
    <t xml:space="preserve">「たぶん大丈夫」で切り替える</t>
  </si>
  <si>
    <t xml:space="preserve">T85</t>
  </si>
  <si>
    <t xml:space="preserve">切替を実施し、旧手段を書けなくする</t>
  </si>
  <si>
    <t xml:space="preserve">成功の姿は「誰も気づかない」。残すと使う</t>
  </si>
  <si>
    <t xml:space="preserve">誰も気づかない／書けなくする</t>
  </si>
  <si>
    <t xml:space="preserve">本番切替／旧手段の停止</t>
  </si>
  <si>
    <t xml:space="preserve">切替記録</t>
  </si>
  <si>
    <r>
      <rPr>
        <sz val="10"/>
        <rFont val="WenQuanYi Zen Hei"/>
        <family val="2"/>
      </rPr>
      <t xml:space="preserve">時刻ごとの記録、起きたこと、回避策、ロールバック発動の有無、旧 </t>
    </r>
    <r>
      <rPr>
        <sz val="10"/>
        <rFont val="Arial"/>
        <family val="0"/>
        <charset val="1"/>
      </rPr>
      <t xml:space="preserve">Excel </t>
    </r>
    <r>
      <rPr>
        <sz val="10"/>
        <rFont val="WenQuanYi Zen Hei"/>
        <family val="2"/>
      </rPr>
      <t xml:space="preserve">の読み取り専用化</t>
    </r>
  </si>
  <si>
    <t xml:space="preserve">経路ごとの切替が記録され、旧手段が書けなくなっている</t>
  </si>
  <si>
    <r>
      <rPr>
        <sz val="10"/>
        <rFont val="WenQuanYi Zen Hei"/>
        <family val="2"/>
      </rPr>
      <t xml:space="preserve">念のため残した </t>
    </r>
    <r>
      <rPr>
        <sz val="10"/>
        <rFont val="Arial"/>
        <family val="0"/>
        <charset val="1"/>
      </rPr>
      <t xml:space="preserve">Excel </t>
    </r>
    <r>
      <rPr>
        <sz val="10"/>
        <rFont val="WenQuanYi Zen Hei"/>
        <family val="2"/>
      </rPr>
      <t xml:space="preserve">が使われる</t>
    </r>
  </si>
  <si>
    <t xml:space="preserve">T86</t>
  </si>
  <si>
    <r>
      <rPr>
        <sz val="10"/>
        <rFont val="Arial"/>
        <family val="0"/>
        <charset val="1"/>
      </rPr>
      <t xml:space="preserve">4</t>
    </r>
    <r>
      <rPr>
        <sz val="10"/>
        <rFont val="WenQuanYi Zen Hei"/>
        <family val="2"/>
      </rPr>
      <t xml:space="preserve">〜</t>
    </r>
    <r>
      <rPr>
        <sz val="10"/>
        <rFont val="Arial"/>
        <family val="0"/>
        <charset val="1"/>
      </rPr>
      <t xml:space="preserve">6</t>
    </r>
    <r>
      <rPr>
        <sz val="10"/>
        <rFont val="WenQuanYi Zen Hei"/>
        <family val="2"/>
      </rPr>
      <t xml:space="preserve">月</t>
    </r>
  </si>
  <si>
    <t xml:space="preserve">ハイパーケアで問い合わせを分類する</t>
  </si>
  <si>
    <t xml:space="preserve">知らない・できない・やりたくない・得がない。教育で直るのは一つ</t>
  </si>
  <si>
    <t xml:space="preserve">二週間／四つの理由</t>
  </si>
  <si>
    <t xml:space="preserve">ハイパーケア／抵抗の四類型</t>
  </si>
  <si>
    <t xml:space="preserve">問い合わせ台帳</t>
  </si>
  <si>
    <t xml:space="preserve">日付、内容、分類（四類型）、対応、対応者</t>
  </si>
  <si>
    <t xml:space="preserve">四類型ごとに手が違うことが台帳から読める</t>
  </si>
  <si>
    <t xml:space="preserve">全部を「教育不足」でまとめる</t>
  </si>
  <si>
    <r>
      <rPr>
        <sz val="10"/>
        <rFont val="Arial"/>
        <family val="0"/>
        <charset val="1"/>
      </rPr>
      <t xml:space="preserve">6.2 </t>
    </r>
    <r>
      <rPr>
        <sz val="10"/>
        <rFont val="WenQuanYi Zen Hei"/>
        <family val="2"/>
      </rPr>
      <t xml:space="preserve">第八章</t>
    </r>
  </si>
  <si>
    <t xml:space="preserve">T87</t>
  </si>
  <si>
    <t xml:space="preserve">変化曲線を先に伝え、キーユーザーを置く</t>
  </si>
  <si>
    <t xml:space="preserve">二週目に一度遅くなる。部署ごとに先に覚えた人</t>
  </si>
  <si>
    <t xml:space="preserve">下がってから上がる／先に覚えた人</t>
  </si>
  <si>
    <t xml:space="preserve">変化曲線／キーユーザー</t>
  </si>
  <si>
    <t xml:space="preserve">キーユーザー一覧</t>
  </si>
  <si>
    <t xml:space="preserve">部署、キーユーザー、役割、伝えた内容</t>
  </si>
  <si>
    <t xml:space="preserve">部署ごとにキーユーザーが決まり、下がる期間を先に伝えた記録がある</t>
  </si>
  <si>
    <t xml:space="preserve">「前のほうが良かった」で戻して二度と追い越さない</t>
  </si>
  <si>
    <t xml:space="preserve">T88</t>
  </si>
  <si>
    <r>
      <rPr>
        <sz val="10"/>
        <rFont val="Arial"/>
        <family val="0"/>
        <charset val="1"/>
      </rPr>
      <t xml:space="preserve">FAQ </t>
    </r>
    <r>
      <rPr>
        <sz val="10"/>
        <rFont val="WenQuanYi Zen Hei"/>
        <family val="2"/>
      </rPr>
      <t xml:space="preserve">を作り、二回目の研修を行う</t>
    </r>
  </si>
  <si>
    <t xml:space="preserve">同じ質問が来なくなるまで</t>
  </si>
  <si>
    <t xml:space="preserve">質問と答え</t>
  </si>
  <si>
    <t xml:space="preserve">FAQ</t>
  </si>
  <si>
    <t xml:space="preserve">質問、答え、掲示場所</t>
  </si>
  <si>
    <r>
      <rPr>
        <sz val="10"/>
        <rFont val="WenQuanYi Zen Hei"/>
        <family val="2"/>
      </rPr>
      <t xml:space="preserve">問い合わせ上位が </t>
    </r>
    <r>
      <rPr>
        <sz val="10"/>
        <rFont val="Arial"/>
        <family val="0"/>
        <charset val="1"/>
      </rPr>
      <t xml:space="preserve">FAQ </t>
    </r>
    <r>
      <rPr>
        <sz val="10"/>
        <rFont val="WenQuanYi Zen Hei"/>
        <family val="2"/>
      </rPr>
      <t xml:space="preserve">化され、同じ質問が減っている</t>
    </r>
  </si>
  <si>
    <t xml:space="preserve">マニュアルに追記して誰も読まない</t>
  </si>
  <si>
    <t xml:space="preserve">T89</t>
  </si>
  <si>
    <t xml:space="preserve">定着度を測る（旧手段が残っている回数）</t>
  </si>
  <si>
    <r>
      <rPr>
        <sz val="10"/>
        <rFont val="WenQuanYi Zen Hei"/>
        <family val="2"/>
      </rPr>
      <t xml:space="preserve">利用率より旧 </t>
    </r>
    <r>
      <rPr>
        <sz val="10"/>
        <rFont val="Arial"/>
        <family val="0"/>
        <charset val="1"/>
      </rPr>
      <t xml:space="preserve">Excel </t>
    </r>
    <r>
      <rPr>
        <sz val="10"/>
        <rFont val="WenQuanYi Zen Hei"/>
        <family val="2"/>
      </rPr>
      <t xml:space="preserve">を開いた回数のほうが正直</t>
    </r>
  </si>
  <si>
    <t xml:space="preserve">開いた回数</t>
  </si>
  <si>
    <t xml:space="preserve">定着度の測定／抜け道の封鎖</t>
  </si>
  <si>
    <t xml:space="preserve">定着度レポート</t>
  </si>
  <si>
    <r>
      <rPr>
        <sz val="10"/>
        <rFont val="WenQuanYi Zen Hei"/>
        <family val="2"/>
      </rPr>
      <t xml:space="preserve">週ごとの旧 </t>
    </r>
    <r>
      <rPr>
        <sz val="10"/>
        <rFont val="Arial"/>
        <family val="0"/>
        <charset val="1"/>
      </rPr>
      <t xml:space="preserve">Excel </t>
    </r>
    <r>
      <rPr>
        <sz val="10"/>
        <rFont val="WenQuanYi Zen Hei"/>
        <family val="2"/>
      </rPr>
      <t xml:space="preserve">起動回数、新システム利用率、問い合わせ件数</t>
    </r>
  </si>
  <si>
    <t xml:space="preserve">旧手段の回数がゼロになった週が記録されている</t>
  </si>
  <si>
    <t xml:space="preserve">利用率だけ見て抜け道に気づかない</t>
  </si>
  <si>
    <t xml:space="preserve">T90</t>
  </si>
  <si>
    <t xml:space="preserve">経営者が短期成果を自分の口で言う</t>
  </si>
  <si>
    <t xml:space="preserve">効いたことを早く、具体的に</t>
  </si>
  <si>
    <t xml:space="preserve">三週間ゼロ</t>
  </si>
  <si>
    <t xml:space="preserve">短期成果の見える化（経営者のメッセージ）</t>
  </si>
  <si>
    <t xml:space="preserve">朝礼メモ</t>
  </si>
  <si>
    <t xml:space="preserve">日付、経営者の言葉、指標</t>
  </si>
  <si>
    <t xml:space="preserve">切替後三週間以内に経営者が具体的な成果を口にした記録がある</t>
  </si>
  <si>
    <t xml:space="preserve">印を押しただけで伝わったと思う</t>
  </si>
  <si>
    <t xml:space="preserve">T91</t>
  </si>
  <si>
    <t xml:space="preserve">運用設計書を書く</t>
  </si>
  <si>
    <t xml:space="preserve">プロジェクトは終わるがシステムは終わらない</t>
  </si>
  <si>
    <t xml:space="preserve">終わったあと／つなぎの片づけ／手順書の直す人</t>
  </si>
  <si>
    <t xml:space="preserve">運用設計／技術的負債の管理／業務標準の維持</t>
  </si>
  <si>
    <t xml:space="preserve">運用設計書</t>
  </si>
  <si>
    <t xml:space="preserve">窓口、マスタ、不具合、変更要求、版上げ、監視、権限棚卸し、バックアップ、手順書の更新者、つなぎの片づけ期限、効果測定、年次棚卸し、継続改善</t>
  </si>
  <si>
    <t xml:space="preserve">各項目に担当と時期があり、つなぎの片づけに削除日がある</t>
  </si>
  <si>
    <t xml:space="preserve">半年後に誰も触れないシステム</t>
  </si>
  <si>
    <t xml:space="preserve">T92</t>
  </si>
  <si>
    <t xml:space="preserve">効果を測り、回収期間を実績で直す</t>
  </si>
  <si>
    <r>
      <rPr>
        <sz val="10"/>
        <rFont val="WenQuanYi Zen Hei"/>
        <family val="2"/>
      </rPr>
      <t xml:space="preserve">構想書の </t>
    </r>
    <r>
      <rPr>
        <sz val="10"/>
        <rFont val="Arial"/>
        <family val="0"/>
        <charset val="1"/>
      </rPr>
      <t xml:space="preserve">KPI </t>
    </r>
    <r>
      <rPr>
        <sz val="10"/>
        <rFont val="WenQuanYi Zen Hei"/>
        <family val="2"/>
      </rPr>
      <t xml:space="preserve">に対して報告。半年は毎月</t>
    </r>
  </si>
  <si>
    <t xml:space="preserve">体温／半年測る</t>
  </si>
  <si>
    <r>
      <rPr>
        <sz val="10"/>
        <rFont val="WenQuanYi Zen Hei"/>
        <family val="2"/>
      </rPr>
      <t xml:space="preserve">効果測定（</t>
    </r>
    <r>
      <rPr>
        <sz val="10"/>
        <rFont val="Arial"/>
        <family val="0"/>
        <charset val="1"/>
      </rPr>
      <t xml:space="preserve">KPI</t>
    </r>
    <r>
      <rPr>
        <sz val="10"/>
        <rFont val="WenQuanYi Zen Hei"/>
        <family val="2"/>
      </rPr>
      <t xml:space="preserve">）／ベネフィット実現管理</t>
    </r>
  </si>
  <si>
    <t xml:space="preserve">効果測定報告</t>
  </si>
  <si>
    <r>
      <rPr>
        <sz val="10"/>
        <rFont val="Arial"/>
        <family val="0"/>
        <charset val="1"/>
      </rPr>
      <t xml:space="preserve">KPI</t>
    </r>
    <r>
      <rPr>
        <sz val="10"/>
        <rFont val="WenQuanYi Zen Hei"/>
        <family val="2"/>
      </rPr>
      <t xml:space="preserve">、目標、実績、判定、費用、回収期間の再計算、測る人と時期</t>
    </r>
  </si>
  <si>
    <r>
      <rPr>
        <sz val="10"/>
        <rFont val="WenQuanYi Zen Hei"/>
        <family val="2"/>
      </rPr>
      <t xml:space="preserve">構想書の </t>
    </r>
    <r>
      <rPr>
        <sz val="10"/>
        <rFont val="Arial"/>
        <family val="0"/>
        <charset val="1"/>
      </rPr>
      <t xml:space="preserve">KPI </t>
    </r>
    <r>
      <rPr>
        <sz val="10"/>
        <rFont val="WenQuanYi Zen Hei"/>
        <family val="2"/>
      </rPr>
      <t xml:space="preserve">ツリーの枝ごとに実績があり、次の測定日が決まっている</t>
    </r>
  </si>
  <si>
    <t xml:space="preserve">プロジェクト終了後に誰も測らない</t>
  </si>
  <si>
    <t xml:space="preserve">T93</t>
  </si>
  <si>
    <t xml:space="preserve">振り返りを行う</t>
  </si>
  <si>
    <t xml:space="preserve">良かった・悪かった・次。個人を責めない</t>
  </si>
  <si>
    <t xml:space="preserve">良かった・悪かった・次／八つの段</t>
  </si>
  <si>
    <r>
      <rPr>
        <sz val="10"/>
        <rFont val="WenQuanYi Zen Hei"/>
        <family val="2"/>
      </rPr>
      <t xml:space="preserve">振り返り（レトロスペクティブ）／</t>
    </r>
    <r>
      <rPr>
        <sz val="10"/>
        <rFont val="Arial"/>
        <family val="0"/>
        <charset val="1"/>
      </rPr>
      <t xml:space="preserve">Kotter </t>
    </r>
    <r>
      <rPr>
        <sz val="10"/>
        <rFont val="WenQuanYi Zen Hei"/>
        <family val="2"/>
      </rPr>
      <t xml:space="preserve">の八段階</t>
    </r>
  </si>
  <si>
    <t xml:space="preserve">振り返り記録</t>
  </si>
  <si>
    <t xml:space="preserve">良かったこと、悪かったこと（自分の見立てで打ち消したことも）、次に活かすこと、八段階への当てはめ</t>
  </si>
  <si>
    <r>
      <rPr>
        <sz val="10"/>
        <rFont val="WenQuanYi Zen Hei"/>
        <family val="2"/>
      </rPr>
      <t xml:space="preserve">悪かったことに </t>
    </r>
    <r>
      <rPr>
        <sz val="10"/>
        <rFont val="Arial"/>
        <family val="0"/>
        <charset val="1"/>
      </rPr>
      <t xml:space="preserve">PM </t>
    </r>
    <r>
      <rPr>
        <sz val="10"/>
        <rFont val="WenQuanYi Zen Hei"/>
        <family val="2"/>
      </rPr>
      <t xml:space="preserve">自身の判断ミスが挙がっている</t>
    </r>
  </si>
  <si>
    <t xml:space="preserve">他人のミスだけ挙がる</t>
  </si>
  <si>
    <t xml:space="preserve">T94</t>
  </si>
  <si>
    <t xml:space="preserve">次のプロジェクトへ軸の一覧を引き継ぐ</t>
  </si>
  <si>
    <t xml:space="preserve">一から枠を作らない。軸を先に置いて枠に入れて話す</t>
  </si>
  <si>
    <t xml:space="preserve">軸の一覧</t>
  </si>
  <si>
    <t xml:space="preserve">整理軸</t>
  </si>
  <si>
    <t xml:space="preserve">軸の一覧（一枚）</t>
  </si>
  <si>
    <t xml:space="preserve">二十本の軸、使う場面</t>
  </si>
  <si>
    <r>
      <rPr>
        <sz val="10"/>
        <rFont val="WenQuanYi Zen Hei"/>
        <family val="2"/>
      </rPr>
      <t xml:space="preserve">次の </t>
    </r>
    <r>
      <rPr>
        <sz val="10"/>
        <rFont val="Arial"/>
        <family val="0"/>
        <charset val="1"/>
      </rPr>
      <t xml:space="preserve">PM </t>
    </r>
    <r>
      <rPr>
        <sz val="10"/>
        <rFont val="WenQuanYi Zen Hei"/>
        <family val="2"/>
      </rPr>
      <t xml:space="preserve">が軸の一覧を持って構想を書き始めている</t>
    </r>
  </si>
  <si>
    <t xml:space="preserve">毎回一からフレームを作る</t>
  </si>
  <si>
    <r>
      <rPr>
        <sz val="10"/>
        <rFont val="Arial"/>
        <family val="0"/>
        <charset val="1"/>
      </rPr>
      <t xml:space="preserve">6.2 </t>
    </r>
    <r>
      <rPr>
        <sz val="10"/>
        <rFont val="WenQuanYi Zen Hei"/>
        <family val="2"/>
      </rPr>
      <t xml:space="preserve">終章</t>
    </r>
  </si>
  <si>
    <t xml:space="preserve">成果物</t>
  </si>
  <si>
    <t xml:space="preserve">目的</t>
  </si>
  <si>
    <t xml:space="preserve">主な項目</t>
  </si>
  <si>
    <t xml:space="preserve">作る人</t>
  </si>
  <si>
    <t xml:space="preserve">承認する人</t>
  </si>
  <si>
    <t xml:space="preserve">更新のタイミング</t>
  </si>
  <si>
    <t xml:space="preserve">関連する型</t>
  </si>
  <si>
    <t xml:space="preserve">関連タスク数</t>
  </si>
  <si>
    <t xml:space="preserve">経営者の意図（改善／改革）と予算・期限を固定する</t>
  </si>
  <si>
    <t xml:space="preserve">目的の翻訳、改善／改革、予算、期限、範囲外</t>
  </si>
  <si>
    <t xml:space="preserve">着手時。前提が変わったとき</t>
  </si>
  <si>
    <t xml:space="preserve">数える対象を絞る</t>
  </si>
  <si>
    <t xml:space="preserve">当たり、数える項目、外れの記録</t>
  </si>
  <si>
    <t xml:space="preserve">観察前。外れたとき</t>
  </si>
  <si>
    <t xml:space="preserve">実態を件数・時間で残す</t>
  </si>
  <si>
    <t xml:space="preserve">部署、作業、件数、分／件、道具</t>
  </si>
  <si>
    <t xml:space="preserve">観察の各日</t>
  </si>
  <si>
    <r>
      <rPr>
        <sz val="10"/>
        <rFont val="Arial"/>
        <family val="0"/>
        <charset val="1"/>
      </rPr>
      <t xml:space="preserve">3</t>
    </r>
    <r>
      <rPr>
        <sz val="10"/>
        <rFont val="WenQuanYi Zen Hei"/>
        <family val="2"/>
      </rPr>
      <t xml:space="preserve">現主義</t>
    </r>
  </si>
  <si>
    <t xml:space="preserve">事故の発生源を示す</t>
  </si>
  <si>
    <t xml:space="preserve">写す場所、回数、確認者</t>
  </si>
  <si>
    <r>
      <rPr>
        <sz val="10"/>
        <rFont val="WenQuanYi Zen Hei"/>
        <family val="2"/>
      </rPr>
      <t xml:space="preserve">観察週。</t>
    </r>
    <r>
      <rPr>
        <sz val="10"/>
        <rFont val="Arial"/>
        <family val="0"/>
        <charset val="1"/>
      </rPr>
      <t xml:space="preserve">To-Be </t>
    </r>
    <r>
      <rPr>
        <sz val="10"/>
        <rFont val="WenQuanYi Zen Hei"/>
        <family val="2"/>
      </rPr>
      <t xml:space="preserve">設計時に再利用</t>
    </r>
  </si>
  <si>
    <t xml:space="preserve">転記分析</t>
  </si>
  <si>
    <t xml:space="preserve">待ち時間を示す</t>
  </si>
  <si>
    <t xml:space="preserve">工程、待ち、作業、合計</t>
  </si>
  <si>
    <t xml:space="preserve">観察週</t>
  </si>
  <si>
    <t xml:space="preserve">リードタイム分析</t>
  </si>
  <si>
    <t xml:space="preserve">毎月・毎年の業務を拾う</t>
  </si>
  <si>
    <t xml:space="preserve">業務、担当、頻度、時間、帳票</t>
  </si>
  <si>
    <t xml:space="preserve">観察週。年に一度更新</t>
  </si>
  <si>
    <r>
      <rPr>
        <sz val="10"/>
        <rFont val="WenQuanYi Zen Hei"/>
        <family val="2"/>
      </rPr>
      <t xml:space="preserve">野良 </t>
    </r>
    <r>
      <rPr>
        <sz val="10"/>
        <rFont val="Arial"/>
        <family val="0"/>
        <charset val="1"/>
      </rPr>
      <t xml:space="preserve">Excel </t>
    </r>
    <r>
      <rPr>
        <sz val="10"/>
        <rFont val="WenQuanYi Zen Hei"/>
        <family val="2"/>
      </rPr>
      <t xml:space="preserve">と隠れ業務を残す</t>
    </r>
  </si>
  <si>
    <t xml:space="preserve">帳票、置き場所、作る人、無いと何が起きるか</t>
  </si>
  <si>
    <t xml:space="preserve">シャドーワーク</t>
  </si>
  <si>
    <t xml:space="preserve">経路の差分を数えられる形にする</t>
  </si>
  <si>
    <r>
      <rPr>
        <sz val="10"/>
        <rFont val="WenQuanYi Zen Hei"/>
        <family val="2"/>
      </rPr>
      <t xml:space="preserve">経路</t>
    </r>
    <r>
      <rPr>
        <sz val="10"/>
        <rFont val="Arial"/>
        <family val="0"/>
        <charset val="1"/>
      </rPr>
      <t xml:space="preserve">×</t>
    </r>
    <r>
      <rPr>
        <sz val="10"/>
        <rFont val="WenQuanYi Zen Hei"/>
        <family val="2"/>
      </rPr>
      <t xml:space="preserve">工程、スイムレーン、跨ぐ矢印</t>
    </r>
  </si>
  <si>
    <r>
      <rPr>
        <sz val="10"/>
        <rFont val="WenQuanYi Zen Hei"/>
        <family val="2"/>
      </rPr>
      <t xml:space="preserve">観察週。</t>
    </r>
    <r>
      <rPr>
        <sz val="10"/>
        <rFont val="Arial"/>
        <family val="0"/>
        <charset val="1"/>
      </rPr>
      <t xml:space="preserve">To-Be </t>
    </r>
    <r>
      <rPr>
        <sz val="10"/>
        <rFont val="WenQuanYi Zen Hei"/>
        <family val="2"/>
      </rPr>
      <t xml:space="preserve">と同じ記法</t>
    </r>
  </si>
  <si>
    <t xml:space="preserve">金額で語る</t>
  </si>
  <si>
    <t xml:space="preserve">担当、件数、時間、年額、影（別行）</t>
  </si>
  <si>
    <t xml:space="preserve">観察週。効果測定で比較</t>
  </si>
  <si>
    <t xml:space="preserve">対策の優先順位</t>
  </si>
  <si>
    <t xml:space="preserve">種類、件数、金額、影響</t>
  </si>
  <si>
    <t xml:space="preserve">月末・年度末を非機能へつなぐ</t>
  </si>
  <si>
    <t xml:space="preserve">倍率、担当の稼働</t>
  </si>
  <si>
    <t xml:space="preserve">痛みを数字で経営者に渡す</t>
  </si>
  <si>
    <t xml:space="preserve">時間表、事故一覧の要約</t>
  </si>
  <si>
    <t xml:space="preserve">観察週の末</t>
  </si>
  <si>
    <t xml:space="preserve">何を解くかを分ける</t>
  </si>
  <si>
    <t xml:space="preserve">大論点、中論点、業務／システムの別</t>
  </si>
  <si>
    <t xml:space="preserve">構想の冒頭</t>
  </si>
  <si>
    <t xml:space="preserve">問題と課題を分ける</t>
  </si>
  <si>
    <t xml:space="preserve">あるべき姿、問題、課題、原因、真因</t>
  </si>
  <si>
    <t xml:space="preserve">システムで直せる範囲を示す</t>
  </si>
  <si>
    <t xml:space="preserve">四つの箱、直し方</t>
  </si>
  <si>
    <t xml:space="preserve">業務の変え方を先に決める</t>
  </si>
  <si>
    <t xml:space="preserve">経路ごとの変え方、残す・やめる</t>
  </si>
  <si>
    <t xml:space="preserve">構想。要件定義で詳細化</t>
  </si>
  <si>
    <r>
      <rPr>
        <sz val="10"/>
        <rFont val="Arial"/>
        <family val="0"/>
        <charset val="1"/>
      </rPr>
      <t xml:space="preserve">To-Be</t>
    </r>
    <r>
      <rPr>
        <sz val="10"/>
        <rFont val="WenQuanYi Zen Hei"/>
        <family val="2"/>
      </rPr>
      <t xml:space="preserve">／</t>
    </r>
    <r>
      <rPr>
        <sz val="10"/>
        <rFont val="Arial"/>
        <family val="0"/>
        <charset val="1"/>
      </rPr>
      <t xml:space="preserve">ECRS</t>
    </r>
    <r>
      <rPr>
        <sz val="10"/>
        <rFont val="WenQuanYi Zen Hei"/>
        <family val="2"/>
      </rPr>
      <t xml:space="preserve">／業務の三分類</t>
    </r>
  </si>
  <si>
    <t xml:space="preserve">止めるための承認</t>
  </si>
  <si>
    <t xml:space="preserve">条件、承認者、通知</t>
  </si>
  <si>
    <t xml:space="preserve">構想。要件定義で業務ルール表へ</t>
  </si>
  <si>
    <r>
      <rPr>
        <sz val="10"/>
        <rFont val="WenQuanYi Zen Hei"/>
        <family val="2"/>
      </rPr>
      <t xml:space="preserve">承認設計（</t>
    </r>
    <r>
      <rPr>
        <sz val="10"/>
        <rFont val="Arial"/>
        <family val="0"/>
        <charset val="1"/>
      </rPr>
      <t xml:space="preserve">TOC</t>
    </r>
    <r>
      <rPr>
        <sz val="10"/>
        <rFont val="WenQuanYi Zen Hei"/>
        <family val="2"/>
      </rPr>
      <t xml:space="preserve">）</t>
    </r>
  </si>
  <si>
    <t xml:space="preserve">未検証の土台を見える化</t>
  </si>
  <si>
    <t xml:space="preserve">前提、検証状況、崩れたときの手</t>
  </si>
  <si>
    <t xml:space="preserve">構想。前提が確かめられるたび</t>
  </si>
  <si>
    <t xml:space="preserve">後で止める人を先に見る</t>
  </si>
  <si>
    <t xml:space="preserve">関係者、影響、関心、先に打つ手</t>
  </si>
  <si>
    <t xml:space="preserve">構想。関係者が増えたとき</t>
  </si>
  <si>
    <t xml:space="preserve">リスク、確率、影響、手、見立ての持ち主</t>
  </si>
  <si>
    <t xml:space="preserve">構想。毎月見直し。起きたら課題へ</t>
  </si>
  <si>
    <t xml:space="preserve">投資対効果</t>
  </si>
  <si>
    <t xml:space="preserve">削減、回避、創出、費用、回収期間</t>
  </si>
  <si>
    <t xml:space="preserve">構想。効果測定で実績に更新</t>
  </si>
  <si>
    <t xml:space="preserve">着手順を決める</t>
  </si>
  <si>
    <t xml:space="preserve">施策、効果、難易度、着手順</t>
  </si>
  <si>
    <t xml:space="preserve">構想</t>
  </si>
  <si>
    <t xml:space="preserve">何が効いたかを測る</t>
  </si>
  <si>
    <t xml:space="preserve">最上位、枝、対応する手、測る人</t>
  </si>
  <si>
    <t xml:space="preserve">構想。効果測定で使う</t>
  </si>
  <si>
    <t xml:space="preserve">決める人を空欄にしない</t>
  </si>
  <si>
    <r>
      <rPr>
        <sz val="10"/>
        <rFont val="WenQuanYi Zen Hei"/>
        <family val="2"/>
      </rPr>
      <t xml:space="preserve">体制、</t>
    </r>
    <r>
      <rPr>
        <sz val="10"/>
        <rFont val="Arial"/>
        <family val="0"/>
        <charset val="1"/>
      </rPr>
      <t xml:space="preserve">RACI</t>
    </r>
    <r>
      <rPr>
        <sz val="10"/>
        <rFont val="WenQuanYi Zen Hei"/>
        <family val="2"/>
      </rPr>
      <t xml:space="preserve">、プロセスオーナー、上げる基準</t>
    </r>
  </si>
  <si>
    <t xml:space="preserve">構想。体制が変わったとき</t>
  </si>
  <si>
    <r>
      <rPr>
        <sz val="10"/>
        <rFont val="Arial"/>
        <family val="0"/>
        <charset val="1"/>
      </rPr>
      <t xml:space="preserve">RACI</t>
    </r>
    <r>
      <rPr>
        <sz val="10"/>
        <rFont val="WenQuanYi Zen Hei"/>
        <family val="2"/>
      </rPr>
      <t xml:space="preserve">／プロセスオーナー／エスカレーション</t>
    </r>
  </si>
  <si>
    <t xml:space="preserve">後で断る盾</t>
  </si>
  <si>
    <t xml:space="preserve">やらないこと、節目、やめる基準</t>
  </si>
  <si>
    <r>
      <rPr>
        <sz val="10"/>
        <rFont val="WenQuanYi Zen Hei"/>
        <family val="2"/>
      </rPr>
      <t xml:space="preserve">構想。変更は </t>
    </r>
    <r>
      <rPr>
        <sz val="10"/>
        <rFont val="Arial"/>
        <family val="0"/>
        <charset val="1"/>
      </rPr>
      <t xml:space="preserve">CR </t>
    </r>
    <r>
      <rPr>
        <sz val="10"/>
        <rFont val="WenQuanYi Zen Hei"/>
        <family val="2"/>
      </rPr>
      <t xml:space="preserve">で</t>
    </r>
  </si>
  <si>
    <t xml:space="preserve">スコープ定義／ステージゲート</t>
  </si>
  <si>
    <t xml:space="preserve">減る人・増える人を見せる</t>
  </si>
  <si>
    <t xml:space="preserve">人、消える仕事、増える仕事、伝えた日</t>
  </si>
  <si>
    <t xml:space="preserve">構想。教育計画の入力</t>
  </si>
  <si>
    <t xml:space="preserve">目的から体制までを一枚に</t>
  </si>
  <si>
    <r>
      <rPr>
        <sz val="10"/>
        <rFont val="WenQuanYi Zen Hei"/>
        <family val="2"/>
      </rPr>
      <t xml:space="preserve">目的、業務の変え方、要求、</t>
    </r>
    <r>
      <rPr>
        <sz val="10"/>
        <rFont val="Arial"/>
        <family val="0"/>
        <charset val="1"/>
      </rPr>
      <t xml:space="preserve">KPI</t>
    </r>
    <r>
      <rPr>
        <sz val="10"/>
        <rFont val="WenQuanYi Zen Hei"/>
        <family val="2"/>
      </rPr>
      <t xml:space="preserve">、体制、予算、やらないこと、効果、前提、節目、</t>
    </r>
    <r>
      <rPr>
        <sz val="10"/>
        <rFont val="Arial"/>
        <family val="0"/>
        <charset val="1"/>
      </rPr>
      <t xml:space="preserve">RACI</t>
    </r>
  </si>
  <si>
    <t xml:space="preserve">構想の末。以後は変更管理</t>
  </si>
  <si>
    <t xml:space="preserve">構想書／空・雨・傘</t>
  </si>
  <si>
    <t xml:space="preserve">判断の場を作る</t>
  </si>
  <si>
    <t xml:space="preserve">出席者、頻度、決めること</t>
  </si>
  <si>
    <t xml:space="preserve">構想の末</t>
  </si>
  <si>
    <t xml:space="preserve">要望を右の枠に置く</t>
  </si>
  <si>
    <t xml:space="preserve">要望、出所、理由、用事</t>
  </si>
  <si>
    <t xml:space="preserve">要件定義中。以後は変更要求の元</t>
  </si>
  <si>
    <t xml:space="preserve">要求管理／ジョブ理論</t>
  </si>
  <si>
    <t xml:space="preserve">目的で書き、合格の条件を先に持つ</t>
  </si>
  <si>
    <t xml:space="preserve">誰が・何のために・何を、前提・操作・結果</t>
  </si>
  <si>
    <r>
      <rPr>
        <sz val="10"/>
        <rFont val="WenQuanYi Zen Hei"/>
        <family val="2"/>
      </rPr>
      <t xml:space="preserve">要件定義。</t>
    </r>
    <r>
      <rPr>
        <sz val="10"/>
        <rFont val="Arial"/>
        <family val="0"/>
        <charset val="1"/>
      </rPr>
      <t xml:space="preserve">UAT </t>
    </r>
    <r>
      <rPr>
        <sz val="10"/>
        <rFont val="WenQuanYi Zen Hei"/>
        <family val="2"/>
      </rPr>
      <t xml:space="preserve">で使う</t>
    </r>
  </si>
  <si>
    <t xml:space="preserve">ユースケース／受入基準</t>
  </si>
  <si>
    <t xml:space="preserve">紐づかないものを疑う</t>
  </si>
  <si>
    <t xml:space="preserve">業務要件、機能要件、設計、テスト</t>
  </si>
  <si>
    <t xml:space="preserve">要件定義。設計・テストで列を足す</t>
  </si>
  <si>
    <t xml:space="preserve">トレーサビリティ</t>
  </si>
  <si>
    <t xml:space="preserve">困るものだけ数字で</t>
  </si>
  <si>
    <t xml:space="preserve">可用性、性能（ピーク）、運用、移行、セキュリティ</t>
  </si>
  <si>
    <t xml:space="preserve">要件定義。性能テストで確認</t>
  </si>
  <si>
    <r>
      <rPr>
        <sz val="10"/>
        <rFont val="WenQuanYi Zen Hei"/>
        <family val="2"/>
      </rPr>
      <t xml:space="preserve">非機能要求グレード／</t>
    </r>
    <r>
      <rPr>
        <sz val="10"/>
        <rFont val="Arial"/>
        <family val="0"/>
        <charset val="1"/>
      </rPr>
      <t xml:space="preserve">SMART</t>
    </r>
  </si>
  <si>
    <t xml:space="preserve">消せる人と変える画面を確かめる</t>
  </si>
  <si>
    <r>
      <rPr>
        <sz val="10"/>
        <rFont val="WenQuanYi Zen Hei"/>
        <family val="2"/>
      </rPr>
      <t xml:space="preserve">データ</t>
    </r>
    <r>
      <rPr>
        <sz val="10"/>
        <rFont val="Arial"/>
        <family val="0"/>
        <charset val="1"/>
      </rPr>
      <t xml:space="preserve">×</t>
    </r>
    <r>
      <rPr>
        <sz val="10"/>
        <rFont val="WenQuanYi Zen Hei"/>
        <family val="2"/>
      </rPr>
      <t xml:space="preserve">画面、役割</t>
    </r>
    <r>
      <rPr>
        <sz val="10"/>
        <rFont val="Arial"/>
        <family val="0"/>
        <charset val="1"/>
      </rPr>
      <t xml:space="preserve">×</t>
    </r>
    <r>
      <rPr>
        <sz val="10"/>
        <rFont val="WenQuanYi Zen Hei"/>
        <family val="2"/>
      </rPr>
      <t xml:space="preserve">機能</t>
    </r>
  </si>
  <si>
    <t xml:space="preserve">要件定義。設計で権限設計へ</t>
  </si>
  <si>
    <t xml:space="preserve">空欄＝決めていないことを見せる</t>
  </si>
  <si>
    <r>
      <rPr>
        <sz val="10"/>
        <rFont val="WenQuanYi Zen Hei"/>
        <family val="2"/>
      </rPr>
      <t xml:space="preserve">条件</t>
    </r>
    <r>
      <rPr>
        <sz val="10"/>
        <rFont val="Arial"/>
        <family val="0"/>
        <charset val="1"/>
      </rPr>
      <t xml:space="preserve">×</t>
    </r>
    <r>
      <rPr>
        <sz val="10"/>
        <rFont val="WenQuanYi Zen Hei"/>
        <family val="2"/>
      </rPr>
      <t xml:space="preserve">結果、空欄</t>
    </r>
  </si>
  <si>
    <t xml:space="preserve">要件定義。設計レビューで空欄を埋める</t>
  </si>
  <si>
    <t xml:space="preserve">遅れの理由を残す</t>
  </si>
  <si>
    <t xml:space="preserve">日付、追加、指摘者、理由、影響</t>
  </si>
  <si>
    <t xml:space="preserve">要件が増えるたび</t>
  </si>
  <si>
    <t xml:space="preserve">落とす順番</t>
  </si>
  <si>
    <r>
      <rPr>
        <sz val="10"/>
        <rFont val="Arial"/>
        <family val="0"/>
        <charset val="1"/>
      </rPr>
      <t xml:space="preserve">MoSCoW</t>
    </r>
    <r>
      <rPr>
        <sz val="10"/>
        <rFont val="WenQuanYi Zen Hei"/>
        <family val="2"/>
      </rPr>
      <t xml:space="preserve">、</t>
    </r>
    <r>
      <rPr>
        <sz val="10"/>
        <rFont val="Arial"/>
        <family val="0"/>
        <charset val="1"/>
      </rPr>
      <t xml:space="preserve">Must </t>
    </r>
    <r>
      <rPr>
        <sz val="10"/>
        <rFont val="WenQuanYi Zen Hei"/>
        <family val="2"/>
      </rPr>
      <t xml:space="preserve">の割合</t>
    </r>
  </si>
  <si>
    <t xml:space="preserve">要件定義の末。間に合わないと分かる前に</t>
  </si>
  <si>
    <t xml:space="preserve">MoSCoW</t>
  </si>
  <si>
    <t xml:space="preserve">合意した版を固定する</t>
  </si>
  <si>
    <t xml:space="preserve">目的、フロー、三層の要件、一覧類、移行方針、やらないこと、優先度、ルール表、受入基準、署名</t>
  </si>
  <si>
    <r>
      <rPr>
        <sz val="10"/>
        <rFont val="WenQuanYi Zen Hei"/>
        <family val="2"/>
      </rPr>
      <t xml:space="preserve">要件定義の末。以後は </t>
    </r>
    <r>
      <rPr>
        <sz val="10"/>
        <rFont val="Arial"/>
        <family val="0"/>
        <charset val="1"/>
      </rPr>
      <t xml:space="preserve">CR </t>
    </r>
    <r>
      <rPr>
        <sz val="10"/>
        <rFont val="WenQuanYi Zen Hei"/>
        <family val="2"/>
      </rPr>
      <t xml:space="preserve">で改版</t>
    </r>
  </si>
  <si>
    <t xml:space="preserve">作る／買う／借りるを決める</t>
  </si>
  <si>
    <t xml:space="preserve">費用、期間、自由度、保守、向く条件</t>
  </si>
  <si>
    <t xml:space="preserve">選定の冒頭</t>
  </si>
  <si>
    <t xml:space="preserve">候補を絞る</t>
  </si>
  <si>
    <t xml:space="preserve">対応可否</t>
  </si>
  <si>
    <t xml:space="preserve">RFI</t>
  </si>
  <si>
    <t xml:space="preserve">基準と重みを先に見せる</t>
  </si>
  <si>
    <t xml:space="preserve">背景、要件、提案項目、基準と重み、日程、デモ台本、見積書式</t>
  </si>
  <si>
    <r>
      <rPr>
        <sz val="10"/>
        <rFont val="Arial"/>
        <family val="0"/>
        <charset val="1"/>
      </rPr>
      <t xml:space="preserve">RFI </t>
    </r>
    <r>
      <rPr>
        <sz val="10"/>
        <rFont val="WenQuanYi Zen Hei"/>
        <family val="2"/>
      </rPr>
      <t xml:space="preserve">の後</t>
    </r>
  </si>
  <si>
    <r>
      <rPr>
        <sz val="10"/>
        <rFont val="Arial"/>
        <family val="0"/>
        <charset val="1"/>
      </rPr>
      <t xml:space="preserve">RFP</t>
    </r>
    <r>
      <rPr>
        <sz val="10"/>
        <rFont val="WenQuanYi Zen Hei"/>
        <family val="2"/>
      </rPr>
      <t xml:space="preserve">／評価表／デモシナリオ</t>
    </r>
  </si>
  <si>
    <r>
      <rPr>
        <sz val="10"/>
        <rFont val="Arial"/>
        <family val="0"/>
        <charset val="1"/>
      </rPr>
      <t xml:space="preserve">Gap </t>
    </r>
    <r>
      <rPr>
        <sz val="10"/>
        <rFont val="WenQuanYi Zen Hei"/>
        <family val="2"/>
      </rPr>
      <t xml:space="preserve">率で判断</t>
    </r>
  </si>
  <si>
    <r>
      <rPr>
        <sz val="10"/>
        <rFont val="WenQuanYi Zen Hei"/>
        <family val="2"/>
      </rPr>
      <t xml:space="preserve">要件</t>
    </r>
    <r>
      <rPr>
        <sz val="10"/>
        <rFont val="Arial"/>
        <family val="0"/>
        <charset val="1"/>
      </rPr>
      <t xml:space="preserve">×</t>
    </r>
    <r>
      <rPr>
        <sz val="10"/>
        <rFont val="WenQuanYi Zen Hei"/>
        <family val="2"/>
      </rPr>
      <t xml:space="preserve">各社、</t>
    </r>
    <r>
      <rPr>
        <sz val="10"/>
        <rFont val="Arial"/>
        <family val="0"/>
        <charset val="1"/>
      </rPr>
      <t xml:space="preserve">Gap </t>
    </r>
    <r>
      <rPr>
        <sz val="10"/>
        <rFont val="WenQuanYi Zen Hei"/>
        <family val="2"/>
      </rPr>
      <t xml:space="preserve">の種類、</t>
    </r>
    <r>
      <rPr>
        <sz val="10"/>
        <rFont val="Arial"/>
        <family val="0"/>
        <charset val="1"/>
      </rPr>
      <t xml:space="preserve">Gap </t>
    </r>
    <r>
      <rPr>
        <sz val="10"/>
        <rFont val="WenQuanYi Zen Hei"/>
        <family val="2"/>
      </rPr>
      <t xml:space="preserve">率</t>
    </r>
  </si>
  <si>
    <t xml:space="preserve">提案書受領後</t>
  </si>
  <si>
    <t xml:space="preserve">重みで採点</t>
  </si>
  <si>
    <t xml:space="preserve">項目、重み、点、合計</t>
  </si>
  <si>
    <t xml:space="preserve">デモ後</t>
  </si>
  <si>
    <t xml:space="preserve">裏を取る</t>
  </si>
  <si>
    <t xml:space="preserve">試した項目、結果、導入先の苦労</t>
  </si>
  <si>
    <t xml:space="preserve">決定前</t>
  </si>
  <si>
    <t xml:space="preserve">トライアル／リファレンスチェック</t>
  </si>
  <si>
    <t xml:space="preserve">五年総額＋手作業で比べる</t>
  </si>
  <si>
    <t xml:space="preserve">初期、月額、保守、手作業</t>
  </si>
  <si>
    <t xml:space="preserve">TCO</t>
  </si>
  <si>
    <t xml:space="preserve">超過の理由を残す</t>
  </si>
  <si>
    <t xml:space="preserve">選定社、点、超過額、理由、承認者</t>
  </si>
  <si>
    <t xml:space="preserve">決定時</t>
  </si>
  <si>
    <t xml:space="preserve">境目と出口を書く</t>
  </si>
  <si>
    <r>
      <rPr>
        <sz val="10"/>
        <rFont val="WenQuanYi Zen Hei"/>
        <family val="2"/>
      </rPr>
      <t xml:space="preserve">契約の分け方、内訳、責任の境目、出口条項、</t>
    </r>
    <r>
      <rPr>
        <sz val="10"/>
        <rFont val="Arial"/>
        <family val="0"/>
        <charset val="1"/>
      </rPr>
      <t xml:space="preserve">SLA</t>
    </r>
  </si>
  <si>
    <t xml:space="preserve">契約時</t>
  </si>
  <si>
    <r>
      <rPr>
        <sz val="10"/>
        <rFont val="WenQuanYi Zen Hei"/>
        <family val="2"/>
      </rPr>
      <t xml:space="preserve">準委任／請負／多段階契約／責任分界点／出口条項／</t>
    </r>
    <r>
      <rPr>
        <sz val="10"/>
        <rFont val="Arial"/>
        <family val="0"/>
        <charset val="1"/>
      </rPr>
      <t xml:space="preserve">SLA</t>
    </r>
  </si>
  <si>
    <t xml:space="preserve">紙で合意する</t>
  </si>
  <si>
    <r>
      <rPr>
        <sz val="10"/>
        <rFont val="WenQuanYi Zen Hei"/>
        <family val="2"/>
      </rPr>
      <t xml:space="preserve">業務フロー、画面、帳票、</t>
    </r>
    <r>
      <rPr>
        <sz val="10"/>
        <rFont val="Arial"/>
        <family val="0"/>
        <charset val="1"/>
      </rPr>
      <t xml:space="preserve">IF</t>
    </r>
    <r>
      <rPr>
        <sz val="10"/>
        <rFont val="WenQuanYi Zen Hei"/>
        <family val="2"/>
      </rPr>
      <t xml:space="preserve">（エラー行）、データ、権限、版</t>
    </r>
  </si>
  <si>
    <t xml:space="preserve">設計の末。以後は版を上げる</t>
  </si>
  <si>
    <t xml:space="preserve">基本設計／異常系設計／冪等性／版管理</t>
  </si>
  <si>
    <t xml:space="preserve">決めていなかったことを決める</t>
  </si>
  <si>
    <t xml:space="preserve">指摘、決定、決定者、日付</t>
  </si>
  <si>
    <t xml:space="preserve">レビューのたび</t>
  </si>
  <si>
    <t xml:space="preserve">本物の一部で確かめる</t>
  </si>
  <si>
    <t xml:space="preserve">設定前</t>
  </si>
  <si>
    <t xml:space="preserve">作業の名前で進捗を追う</t>
  </si>
  <si>
    <t xml:space="preserve">作業、担当、予定、状況、クリティカルパス、節目</t>
  </si>
  <si>
    <t xml:space="preserve">週次</t>
  </si>
  <si>
    <r>
      <rPr>
        <sz val="10"/>
        <rFont val="Arial"/>
        <family val="0"/>
        <charset val="1"/>
      </rPr>
      <t xml:space="preserve">WBS</t>
    </r>
    <r>
      <rPr>
        <sz val="10"/>
        <rFont val="WenQuanYi Zen Hei"/>
        <family val="2"/>
      </rPr>
      <t xml:space="preserve">／クリティカルパス／マイルストーン／三点見積</t>
    </r>
  </si>
  <si>
    <t xml:space="preserve">残作業を名前で</t>
  </si>
  <si>
    <r>
      <rPr>
        <sz val="10"/>
        <rFont val="WenQuanYi Zen Hei"/>
        <family val="2"/>
      </rPr>
      <t xml:space="preserve">残作業、障害、</t>
    </r>
    <r>
      <rPr>
        <sz val="10"/>
        <rFont val="Arial"/>
        <family val="0"/>
        <charset val="1"/>
      </rPr>
      <t xml:space="preserve">PM </t>
    </r>
    <r>
      <rPr>
        <sz val="10"/>
        <rFont val="WenQuanYi Zen Hei"/>
        <family val="2"/>
      </rPr>
      <t xml:space="preserve">の手</t>
    </r>
  </si>
  <si>
    <t xml:space="preserve">進捗管理</t>
  </si>
  <si>
    <t xml:space="preserve">起きている・起きていないを分ける</t>
  </si>
  <si>
    <t xml:space="preserve">課題、リスク</t>
  </si>
  <si>
    <t xml:space="preserve">誰に・いつ・何を</t>
  </si>
  <si>
    <t xml:space="preserve">頻度、相手、手段、内容</t>
  </si>
  <si>
    <t xml:space="preserve">開発開始時</t>
  </si>
  <si>
    <t xml:space="preserve">影響を見て決める</t>
  </si>
  <si>
    <t xml:space="preserve">内容、要求者、理由、影響、判断</t>
  </si>
  <si>
    <t xml:space="preserve">変更のたび</t>
  </si>
  <si>
    <t xml:space="preserve">一枚で観点から合格基準まで</t>
  </si>
  <si>
    <t xml:space="preserve">観点、範囲、環境、データ、体制、合格基準</t>
  </si>
  <si>
    <t xml:space="preserve">結合テスト前</t>
  </si>
  <si>
    <t xml:space="preserve">業務を一巡させる</t>
  </si>
  <si>
    <t xml:space="preserve">手順、確認点、異常系、端の値</t>
  </si>
  <si>
    <t xml:space="preserve">結合テスト前。回帰で再利用</t>
  </si>
  <si>
    <t xml:space="preserve">シナリオテスト／境界値／異常系</t>
  </si>
  <si>
    <t xml:space="preserve">原因と対策を残す</t>
  </si>
  <si>
    <r>
      <rPr>
        <sz val="10"/>
        <rFont val="Arial"/>
        <family val="0"/>
        <charset val="1"/>
      </rPr>
      <t xml:space="preserve">ID</t>
    </r>
    <r>
      <rPr>
        <sz val="10"/>
        <rFont val="WenQuanYi Zen Hei"/>
        <family val="2"/>
      </rPr>
      <t xml:space="preserve">、内容、原因、対策、担当、期限、状態</t>
    </r>
  </si>
  <si>
    <t xml:space="preserve">テスト中</t>
  </si>
  <si>
    <t xml:space="preserve">月末ピークを確かめる</t>
  </si>
  <si>
    <t xml:space="preserve">件数、応答時間</t>
  </si>
  <si>
    <t xml:space="preserve">結合テスト後</t>
  </si>
  <si>
    <t xml:space="preserve">業務オーナーが署名する</t>
  </si>
  <si>
    <t xml:space="preserve">基準、結果、回避策、署名</t>
  </si>
  <si>
    <r>
      <rPr>
        <sz val="10"/>
        <rFont val="Arial"/>
        <family val="0"/>
        <charset val="1"/>
      </rPr>
      <t xml:space="preserve">UAT </t>
    </r>
    <r>
      <rPr>
        <sz val="10"/>
        <rFont val="WenQuanYi Zen Hei"/>
        <family val="2"/>
      </rPr>
      <t xml:space="preserve">の末</t>
    </r>
  </si>
  <si>
    <t xml:space="preserve">方式と戻し方</t>
  </si>
  <si>
    <t xml:space="preserve">方式、日程、ロールバック基準・判断者・戻し方</t>
  </si>
  <si>
    <r>
      <rPr>
        <sz val="10"/>
        <rFont val="Arial"/>
        <family val="0"/>
        <charset val="1"/>
      </rPr>
      <t xml:space="preserve">UAT </t>
    </r>
    <r>
      <rPr>
        <sz val="10"/>
        <rFont val="WenQuanYi Zen Hei"/>
        <family val="2"/>
      </rPr>
      <t xml:space="preserve">後</t>
    </r>
  </si>
  <si>
    <t xml:space="preserve">移行方式／ロールバック計画</t>
  </si>
  <si>
    <t xml:space="preserve">止めている間と混在期間の手順</t>
  </si>
  <si>
    <t xml:space="preserve">時刻、注文の受け方、混在期間の手順</t>
  </si>
  <si>
    <t xml:space="preserve">切替前</t>
  </si>
  <si>
    <t xml:space="preserve">業務凍結／暫定業務</t>
  </si>
  <si>
    <t xml:space="preserve">分と四役</t>
  </si>
  <si>
    <t xml:space="preserve">時刻、担当、作業、照合、判定、四役</t>
  </si>
  <si>
    <t xml:space="preserve">二回やって照らす</t>
  </si>
  <si>
    <t xml:space="preserve">対象、変換ルール、エラー内訳、対象外、件数・金額の照合</t>
  </si>
  <si>
    <t xml:space="preserve">リハーサル二回</t>
  </si>
  <si>
    <t xml:space="preserve">データ移行／移行リハーサル／移行データ検証</t>
  </si>
  <si>
    <t xml:space="preserve">何も変わりませんを先に</t>
  </si>
  <si>
    <t xml:space="preserve">相手、内容、時期、返事</t>
  </si>
  <si>
    <t xml:space="preserve">三回と、質問と答え</t>
  </si>
  <si>
    <r>
      <rPr>
        <sz val="10"/>
        <rFont val="WenQuanYi Zen Hei"/>
        <family val="2"/>
      </rPr>
      <t xml:space="preserve">回数、日程、対象、受講記録、マニュアル、</t>
    </r>
    <r>
      <rPr>
        <sz val="10"/>
        <rFont val="Arial"/>
        <family val="0"/>
        <charset val="1"/>
      </rPr>
      <t xml:space="preserve">FAQ</t>
    </r>
  </si>
  <si>
    <r>
      <rPr>
        <sz val="10"/>
        <rFont val="WenQuanYi Zen Hei"/>
        <family val="2"/>
      </rPr>
      <t xml:space="preserve">切替前。ハイパーケアで </t>
    </r>
    <r>
      <rPr>
        <sz val="10"/>
        <rFont val="Arial"/>
        <family val="0"/>
        <charset val="1"/>
      </rPr>
      <t xml:space="preserve">FAQ </t>
    </r>
    <r>
      <rPr>
        <sz val="10"/>
        <rFont val="WenQuanYi Zen Hei"/>
        <family val="2"/>
      </rPr>
      <t xml:space="preserve">更新</t>
    </r>
  </si>
  <si>
    <r>
      <rPr>
        <sz val="10"/>
        <rFont val="WenQuanYi Zen Hei"/>
        <family val="2"/>
      </rPr>
      <t xml:space="preserve">教育計画／</t>
    </r>
    <r>
      <rPr>
        <sz val="10"/>
        <rFont val="Arial"/>
        <family val="0"/>
        <charset val="1"/>
      </rPr>
      <t xml:space="preserve">FAQ</t>
    </r>
  </si>
  <si>
    <t xml:space="preserve">表で判定し印を押す</t>
  </si>
  <si>
    <t xml:space="preserve">項目、基準、実績、判定、印</t>
  </si>
  <si>
    <t xml:space="preserve">切替直前</t>
  </si>
  <si>
    <t xml:space="preserve">起きたことと回避策を残す</t>
  </si>
  <si>
    <t xml:space="preserve">時刻、出来事、回避策、ロールバック有無、旧手段停止</t>
  </si>
  <si>
    <t xml:space="preserve">切替当日と各経路の切替日</t>
  </si>
  <si>
    <t xml:space="preserve">四類型で分ける</t>
  </si>
  <si>
    <t xml:space="preserve">日付、内容、分類、対応</t>
  </si>
  <si>
    <t xml:space="preserve">ハイパーケア中</t>
  </si>
  <si>
    <t xml:space="preserve">先に覚えた人を置く</t>
  </si>
  <si>
    <t xml:space="preserve">部署、キーユーザー、役割</t>
  </si>
  <si>
    <t xml:space="preserve">切替後</t>
  </si>
  <si>
    <t xml:space="preserve">キーユーザー／変化曲線</t>
  </si>
  <si>
    <t xml:space="preserve">旧手段の回数を数える</t>
  </si>
  <si>
    <r>
      <rPr>
        <sz val="10"/>
        <rFont val="WenQuanYi Zen Hei"/>
        <family val="2"/>
      </rPr>
      <t xml:space="preserve">旧 </t>
    </r>
    <r>
      <rPr>
        <sz val="10"/>
        <rFont val="Arial"/>
        <family val="0"/>
        <charset val="1"/>
      </rPr>
      <t xml:space="preserve">Excel </t>
    </r>
    <r>
      <rPr>
        <sz val="10"/>
        <rFont val="WenQuanYi Zen Hei"/>
        <family val="2"/>
      </rPr>
      <t xml:space="preserve">起動回数、利用率、問い合わせ件数</t>
    </r>
  </si>
  <si>
    <t xml:space="preserve">週次（切替後一か月）</t>
  </si>
  <si>
    <t xml:space="preserve">終わったあとの担当を残す</t>
  </si>
  <si>
    <t xml:space="preserve">窓口、マスタ、不具合、変更、版上げ、監視、棚卸し、バックアップ、手順書更新、つなぎの片づけ、効果測定、年次棚卸し、継続改善</t>
  </si>
  <si>
    <t xml:space="preserve">切替後一か月。年次で見直し</t>
  </si>
  <si>
    <r>
      <rPr>
        <sz val="10"/>
        <rFont val="WenQuanYi Zen Hei"/>
        <family val="2"/>
      </rPr>
      <t xml:space="preserve">運用設計／技術的負債／業務標準の維持／</t>
    </r>
    <r>
      <rPr>
        <sz val="10"/>
        <rFont val="Arial"/>
        <family val="0"/>
        <charset val="1"/>
      </rPr>
      <t xml:space="preserve">PDCA</t>
    </r>
  </si>
  <si>
    <r>
      <rPr>
        <sz val="10"/>
        <rFont val="WenQuanYi Zen Hei"/>
        <family val="2"/>
      </rPr>
      <t xml:space="preserve">構想書の </t>
    </r>
    <r>
      <rPr>
        <sz val="10"/>
        <rFont val="Arial"/>
        <family val="0"/>
        <charset val="1"/>
      </rPr>
      <t xml:space="preserve">KPI </t>
    </r>
    <r>
      <rPr>
        <sz val="10"/>
        <rFont val="WenQuanYi Zen Hei"/>
        <family val="2"/>
      </rPr>
      <t xml:space="preserve">に答える</t>
    </r>
  </si>
  <si>
    <r>
      <rPr>
        <sz val="10"/>
        <rFont val="Arial"/>
        <family val="0"/>
        <charset val="1"/>
      </rPr>
      <t xml:space="preserve">KPI</t>
    </r>
    <r>
      <rPr>
        <sz val="10"/>
        <rFont val="WenQuanYi Zen Hei"/>
        <family val="2"/>
      </rPr>
      <t xml:space="preserve">、目標、実績、判定、費用、回収期間</t>
    </r>
  </si>
  <si>
    <t xml:space="preserve">月次（半年）</t>
  </si>
  <si>
    <t xml:space="preserve">効果測定／ベネフィット実現管理</t>
  </si>
  <si>
    <t xml:space="preserve">次への引き継ぎ</t>
  </si>
  <si>
    <t xml:space="preserve">良かった、悪かった、次、八段階</t>
  </si>
  <si>
    <t xml:space="preserve">効果測定の後</t>
  </si>
  <si>
    <r>
      <rPr>
        <sz val="10"/>
        <rFont val="WenQuanYi Zen Hei"/>
        <family val="2"/>
      </rPr>
      <t xml:space="preserve">振り返り／</t>
    </r>
    <r>
      <rPr>
        <sz val="10"/>
        <rFont val="Arial"/>
        <family val="0"/>
        <charset val="1"/>
      </rPr>
      <t xml:space="preserve">Kotter </t>
    </r>
    <r>
      <rPr>
        <sz val="10"/>
        <rFont val="WenQuanYi Zen Hei"/>
        <family val="2"/>
      </rPr>
      <t xml:space="preserve">の八段階</t>
    </r>
  </si>
  <si>
    <t xml:space="preserve">型を一から作らない</t>
  </si>
  <si>
    <t xml:space="preserve">プロジェクトの末</t>
  </si>
  <si>
    <t xml:space="preserve">先に効かせた手と効果を残す</t>
  </si>
  <si>
    <t xml:space="preserve">構想中。効果が出たとき</t>
  </si>
  <si>
    <t xml:space="preserve">各ワークショップの前</t>
  </si>
  <si>
    <t xml:space="preserve">三社を同じ台本で比べる</t>
  </si>
  <si>
    <t xml:space="preserve">デモ当日</t>
  </si>
  <si>
    <t xml:space="preserve">画面を小さく回した記録</t>
  </si>
  <si>
    <t xml:space="preserve">週、対象画面、指摘、直した内容</t>
  </si>
  <si>
    <t xml:space="preserve">週次（開発中）</t>
  </si>
  <si>
    <t xml:space="preserve">ハイブリッド開発</t>
  </si>
  <si>
    <t xml:space="preserve">直すたびに全部流した証跡</t>
  </si>
  <si>
    <t xml:space="preserve">修正、再実行シナリオ、新たな不具合</t>
  </si>
  <si>
    <t xml:space="preserve">修正のたび</t>
  </si>
  <si>
    <t xml:space="preserve">経営者が短期成果を口にした記録</t>
  </si>
  <si>
    <t xml:space="preserve">日付、言葉、指標</t>
  </si>
  <si>
    <t xml:space="preserve">切替後三週間以内</t>
  </si>
  <si>
    <t xml:space="preserve">短期成果の見える化</t>
  </si>
  <si>
    <r>
      <rPr>
        <i val="true"/>
        <sz val="9"/>
        <rFont val="WenQuanYi Zen Hei"/>
        <family val="2"/>
      </rPr>
      <t xml:space="preserve">注：関連タスク数は「タスク一覧」の「主な成果物」列と成果物名が完全一致した行を数える。複数成果物を一つの行にまとめた成果物は </t>
    </r>
    <r>
      <rPr>
        <i val="true"/>
        <sz val="9"/>
        <rFont val="Arial"/>
        <family val="0"/>
        <charset val="1"/>
      </rPr>
      <t xml:space="preserve">0 </t>
    </r>
    <r>
      <rPr>
        <i val="true"/>
        <sz val="9"/>
        <rFont val="WenQuanYi Zen Hei"/>
        <family val="2"/>
      </rPr>
      <t xml:space="preserve">になることがある（名称は主な成果物と一致させてある）。</t>
    </r>
  </si>
  <si>
    <t xml:space="preserve">巻</t>
  </si>
  <si>
    <t xml:space="preserve">物語での呼び方</t>
  </si>
  <si>
    <t xml:space="preserve">型の中身・いつ使うか</t>
  </si>
  <si>
    <t xml:space="preserve">上</t>
  </si>
  <si>
    <t xml:space="preserve">現場に張り付いて数える</t>
  </si>
  <si>
    <r>
      <rPr>
        <sz val="10"/>
        <rFont val="WenQuanYi Zen Hei"/>
        <family val="2"/>
      </rPr>
      <t xml:space="preserve">現状業務分析（</t>
    </r>
    <r>
      <rPr>
        <sz val="10"/>
        <rFont val="Arial"/>
        <family val="0"/>
        <charset val="1"/>
      </rPr>
      <t xml:space="preserve">As-Is</t>
    </r>
    <r>
      <rPr>
        <sz val="10"/>
        <rFont val="WenQuanYi Zen Hei"/>
        <family val="2"/>
      </rPr>
      <t xml:space="preserve">）</t>
    </r>
  </si>
  <si>
    <r>
      <rPr>
        <sz val="10"/>
        <rFont val="WenQuanYi Zen Hei"/>
        <family val="2"/>
      </rPr>
      <t xml:space="preserve">手順書でなく実態。件数・時間・金額に落とす。</t>
    </r>
    <r>
      <rPr>
        <sz val="10"/>
        <rFont val="Arial"/>
        <family val="0"/>
        <charset val="1"/>
      </rPr>
      <t xml:space="preserve">To-Be </t>
    </r>
    <r>
      <rPr>
        <sz val="10"/>
        <rFont val="WenQuanYi Zen Hei"/>
        <family val="2"/>
      </rPr>
      <t xml:space="preserve">との差を測るために描く</t>
    </r>
  </si>
  <si>
    <t xml:space="preserve">「システムを入れろ」の裏にある目的。手段の言葉を目的に翻訳する</t>
  </si>
  <si>
    <r>
      <rPr>
        <sz val="10"/>
        <rFont val="WenQuanYi Zen Hei"/>
        <family val="2"/>
      </rPr>
      <t xml:space="preserve">業務改善と業務改革（</t>
    </r>
    <r>
      <rPr>
        <sz val="10"/>
        <rFont val="Arial"/>
        <family val="0"/>
        <charset val="1"/>
      </rPr>
      <t xml:space="preserve">Kaizen </t>
    </r>
    <r>
      <rPr>
        <sz val="10"/>
        <rFont val="WenQuanYi Zen Hei"/>
        <family val="2"/>
      </rPr>
      <t xml:space="preserve">と </t>
    </r>
    <r>
      <rPr>
        <sz val="10"/>
        <rFont val="Arial"/>
        <family val="0"/>
        <charset val="1"/>
      </rPr>
      <t xml:space="preserve">BPR</t>
    </r>
    <r>
      <rPr>
        <sz val="10"/>
        <rFont val="WenQuanYi Zen Hei"/>
        <family val="2"/>
      </rPr>
      <t xml:space="preserve">）</t>
    </r>
  </si>
  <si>
    <t xml:space="preserve">今の流れを速くするのが改善、流れ自体を変えるのが改革。最初にどちらの話かを確かめる</t>
  </si>
  <si>
    <t xml:space="preserve">現場・現物・現実</t>
  </si>
  <si>
    <t xml:space="preserve">手順書を写さず、現場で現物を見る。名前は後でいい</t>
  </si>
  <si>
    <t xml:space="preserve">数えに行く前に「たぶん転記が原因」と置く。外れも記録する</t>
  </si>
  <si>
    <t xml:space="preserve">同じ数字を人が何回写すかを数える。写す場所が、誤読と事故の発生源</t>
  </si>
  <si>
    <t xml:space="preserve">作業時間と待ち時間を分ける。速くするなら待ち時間のほう</t>
  </si>
  <si>
    <t xml:space="preserve">毎日・毎週・毎月・毎年で書き出す。一週間の観察では毎月と毎年が見えない。帳票から逆に引いて検証する</t>
  </si>
  <si>
    <t xml:space="preserve">シャドーワーク（隠れ業務）</t>
  </si>
  <si>
    <t xml:space="preserve">手順書に無く、誰にも言っていない仕事。残すと二重管理になる。別の行に書く</t>
  </si>
  <si>
    <t xml:space="preserve">事故を種類で分け、多い順に。上の一つ二つで大半。対策は上から打つ</t>
  </si>
  <si>
    <t xml:space="preserve">声の大きい人</t>
  </si>
  <si>
    <t xml:space="preserve">ヒアリングの偏り</t>
  </si>
  <si>
    <t xml:space="preserve">声の大きい人の困りごとは大きく見える。同じ物差しで並べる</t>
  </si>
  <si>
    <t xml:space="preserve">毎日の流れと月末・年度末を別に書く。第二週に見えるものが月の全部ではない</t>
  </si>
  <si>
    <t xml:space="preserve">大論点→中論点。業務の話とシステムの話を分ける</t>
  </si>
  <si>
    <t xml:space="preserve">あるべき姿→問題→課題→原因→真因。問題は差、課題はやること</t>
  </si>
  <si>
    <t xml:space="preserve">原因の在処を四つに分ける。システムで直せるのは一つ。残りは業務で直す</t>
  </si>
  <si>
    <t xml:space="preserve">空・雨・傘</t>
  </si>
  <si>
    <t xml:space="preserve">事実・解釈・行動</t>
  </si>
  <si>
    <t xml:space="preserve">事実と解釈と行動を別の行に。社長は空だけ疑えばいい</t>
  </si>
  <si>
    <t xml:space="preserve">業務の変え方を先に決め、システムはその後</t>
  </si>
  <si>
    <t xml:space="preserve">部屋の数</t>
  </si>
  <si>
    <t xml:space="preserve">構想書</t>
  </si>
  <si>
    <r>
      <rPr>
        <sz val="10"/>
        <rFont val="WenQuanYi Zen Hei"/>
        <family val="2"/>
      </rPr>
      <t xml:space="preserve">目的・業務の変え方・要求・</t>
    </r>
    <r>
      <rPr>
        <sz val="10"/>
        <rFont val="Arial"/>
        <family val="0"/>
        <charset val="1"/>
      </rPr>
      <t xml:space="preserve">KPI</t>
    </r>
    <r>
      <rPr>
        <sz val="10"/>
        <rFont val="WenQuanYi Zen Hei"/>
        <family val="2"/>
      </rPr>
      <t xml:space="preserve">・体制・予算・やらないこと、効果と費用、前提とリスク、節目、</t>
    </r>
    <r>
      <rPr>
        <sz val="10"/>
        <rFont val="Arial"/>
        <family val="0"/>
        <charset val="1"/>
      </rPr>
      <t xml:space="preserve">RACI</t>
    </r>
  </si>
  <si>
    <t xml:space="preserve">効果を三つに分け、金額にできるものだけ金額にする。回収期間を書く</t>
  </si>
  <si>
    <t xml:space="preserve">節目</t>
  </si>
  <si>
    <t xml:space="preserve">ステージゲート・撤退基準</t>
  </si>
  <si>
    <r>
      <rPr>
        <sz val="10"/>
        <rFont val="WenQuanYi Zen Hei"/>
        <family val="2"/>
      </rPr>
      <t xml:space="preserve">要件定義後・選定後・</t>
    </r>
    <r>
      <rPr>
        <sz val="10"/>
        <rFont val="Arial"/>
        <family val="0"/>
        <charset val="1"/>
      </rPr>
      <t xml:space="preserve">UAT </t>
    </r>
    <r>
      <rPr>
        <sz val="10"/>
        <rFont val="WenQuanYi Zen Hei"/>
        <family val="2"/>
      </rPr>
      <t xml:space="preserve">後に続ける／やめるを判断。やめる基準を先に書く</t>
    </r>
  </si>
  <si>
    <t xml:space="preserve">誰が決めるか</t>
  </si>
  <si>
    <t xml:space="preserve">RACI</t>
  </si>
  <si>
    <t xml:space="preserve">実行・責任・相談・報告。決める人が空欄の仕事が、後で「決めていなかったこと」になる</t>
  </si>
  <si>
    <t xml:space="preserve">想定外のための一〜二割。無いなら無いと書き、決める人を決める</t>
  </si>
  <si>
    <t xml:space="preserve">足す前に減らす</t>
  </si>
  <si>
    <t xml:space="preserve">ECRS</t>
  </si>
  <si>
    <t xml:space="preserve">なくす→まとめる→順番を変える→簡単にする。工程を足すのは、その後</t>
  </si>
  <si>
    <t xml:space="preserve">承認設計（ボトルネックの理論）</t>
  </si>
  <si>
    <t xml:space="preserve">承認は見るためでなく止めるため。全件承認は承認者が一番遅い工程になる</t>
  </si>
  <si>
    <t xml:space="preserve">処理は機械に、判断は人に、例外は減らすか型にする。月一件の例外は手でやる</t>
  </si>
  <si>
    <t xml:space="preserve">検証していない前提を一覧にし、崩れたときの手を横に書く</t>
  </si>
  <si>
    <t xml:space="preserve">影響が大きくて関心が低い人が後で止める。関心が低いのは、まだ話していないから</t>
  </si>
  <si>
    <r>
      <rPr>
        <sz val="10"/>
        <rFont val="WenQuanYi Zen Hei"/>
        <family val="2"/>
      </rPr>
      <t xml:space="preserve">確率</t>
    </r>
    <r>
      <rPr>
        <sz val="10"/>
        <rFont val="Arial"/>
        <family val="0"/>
        <charset val="1"/>
      </rPr>
      <t xml:space="preserve">×</t>
    </r>
    <r>
      <rPr>
        <sz val="10"/>
        <rFont val="WenQuanYi Zen Hei"/>
        <family val="2"/>
      </rPr>
      <t xml:space="preserve">影響</t>
    </r>
    <r>
      <rPr>
        <sz val="10"/>
        <rFont val="Arial"/>
        <family val="0"/>
        <charset val="1"/>
      </rPr>
      <t xml:space="preserve">×</t>
    </r>
    <r>
      <rPr>
        <sz val="10"/>
        <rFont val="WenQuanYi Zen Hei"/>
        <family val="2"/>
      </rPr>
      <t xml:space="preserve">先に打つ手。起きたことの表（課題）と分ける。見立ては誰のものか書く</t>
    </r>
  </si>
  <si>
    <t xml:space="preserve">人の名前で書く。減る人と増える人が見える。増える人に先に話す</t>
  </si>
  <si>
    <t xml:space="preserve">すぐ効く小さな手を先に。消えた痛みはシステムの効果から引く。現場の信用を買う</t>
  </si>
  <si>
    <t xml:space="preserve">月次で判断する場。報告の場ではない</t>
  </si>
  <si>
    <t xml:space="preserve">目的・出る人・終わったときの姿を先に送る。出す時間と絞る時間を分ける</t>
  </si>
  <si>
    <t xml:space="preserve">誰が・なぜ</t>
  </si>
  <si>
    <t xml:space="preserve">要望の出所記録</t>
  </si>
  <si>
    <t xml:space="preserve">何を・誰が・なぜ。三か月後の「誰が言ったんだ」を防ぐ</t>
  </si>
  <si>
    <t xml:space="preserve">右の枠</t>
  </si>
  <si>
    <t xml:space="preserve">要求管理（要望と要件）</t>
  </si>
  <si>
    <t xml:space="preserve">要件＝ないと目的が達成できない。要望は次の盾</t>
  </si>
  <si>
    <t xml:space="preserve">用事</t>
  </si>
  <si>
    <r>
      <rPr>
        <sz val="10"/>
        <rFont val="WenQuanYi Zen Hei"/>
        <family val="2"/>
      </rPr>
      <t xml:space="preserve">ジョブ理論（</t>
    </r>
    <r>
      <rPr>
        <sz val="10"/>
        <rFont val="Arial"/>
        <family val="0"/>
        <charset val="1"/>
      </rPr>
      <t xml:space="preserve">Jobs to be Done</t>
    </r>
    <r>
      <rPr>
        <sz val="10"/>
        <rFont val="WenQuanYi Zen Hei"/>
        <family val="2"/>
      </rPr>
      <t xml:space="preserve">）</t>
    </r>
  </si>
  <si>
    <t xml:space="preserve">要望の裏の用事を聞く。別の手で満たせることがある</t>
  </si>
  <si>
    <t xml:space="preserve">理由を聞く。慣れなら教育、相手の都合なら要件。踏襲は無駄ごと固める</t>
  </si>
  <si>
    <t xml:space="preserve">誰が・何のために・何を</t>
  </si>
  <si>
    <t xml:space="preserve">ユースケース／ユーザーストーリー</t>
  </si>
  <si>
    <t xml:space="preserve">機能でなく目的で書く。合格の条件とセットにする</t>
  </si>
  <si>
    <t xml:space="preserve">前提・操作・結果</t>
  </si>
  <si>
    <r>
      <rPr>
        <sz val="10"/>
        <rFont val="WenQuanYi Zen Hei"/>
        <family val="2"/>
      </rPr>
      <t xml:space="preserve">受入基準（</t>
    </r>
    <r>
      <rPr>
        <sz val="10"/>
        <rFont val="Arial"/>
        <family val="0"/>
        <charset val="1"/>
      </rPr>
      <t xml:space="preserve">Given</t>
    </r>
    <r>
      <rPr>
        <sz val="10"/>
        <rFont val="WenQuanYi Zen Hei"/>
        <family val="2"/>
      </rPr>
      <t xml:space="preserve">／</t>
    </r>
    <r>
      <rPr>
        <sz val="10"/>
        <rFont val="Arial"/>
        <family val="0"/>
        <charset val="1"/>
      </rPr>
      <t xml:space="preserve">When</t>
    </r>
    <r>
      <rPr>
        <sz val="10"/>
        <rFont val="WenQuanYi Zen Hei"/>
        <family val="2"/>
      </rPr>
      <t xml:space="preserve">／</t>
    </r>
    <r>
      <rPr>
        <sz val="10"/>
        <rFont val="Arial"/>
        <family val="0"/>
        <charset val="1"/>
      </rPr>
      <t xml:space="preserve">Then</t>
    </r>
    <r>
      <rPr>
        <sz val="10"/>
        <rFont val="WenQuanYi Zen Hei"/>
        <family val="2"/>
      </rPr>
      <t xml:space="preserve">）</t>
    </r>
  </si>
  <si>
    <r>
      <rPr>
        <sz val="10"/>
        <rFont val="WenQuanYi Zen Hei"/>
        <family val="2"/>
      </rPr>
      <t xml:space="preserve">要件定義の時点で </t>
    </r>
    <r>
      <rPr>
        <sz val="10"/>
        <rFont val="Arial"/>
        <family val="0"/>
        <charset val="1"/>
      </rPr>
      <t xml:space="preserve">UAT </t>
    </r>
    <r>
      <rPr>
        <sz val="10"/>
        <rFont val="WenQuanYi Zen Hei"/>
        <family val="2"/>
      </rPr>
      <t xml:space="preserve">の合格条件を書く。後で書くと甘くなる</t>
    </r>
  </si>
  <si>
    <t xml:space="preserve">三層</t>
  </si>
  <si>
    <t xml:space="preserve">業務要件／機能要件／非機能要件</t>
  </si>
  <si>
    <t xml:space="preserve">業務と機能を一対一で紐づける。鉛筆も疑う</t>
  </si>
  <si>
    <t xml:space="preserve">紐づけ</t>
  </si>
  <si>
    <t xml:space="preserve">業務要件→機能要件→設計→テスト。紐づかないものは要望か漏れ</t>
  </si>
  <si>
    <t xml:space="preserve">困るものだけ</t>
  </si>
  <si>
    <t xml:space="preserve">非機能要求グレード</t>
  </si>
  <si>
    <t xml:space="preserve">六項目を全部埋めない。止まると困る時間、同時利用者、月末件数、バックアップ</t>
  </si>
  <si>
    <t xml:space="preserve">作る・読む・変える・消す</t>
  </si>
  <si>
    <r>
      <rPr>
        <sz val="10"/>
        <rFont val="Arial"/>
        <family val="0"/>
        <charset val="1"/>
      </rPr>
      <t xml:space="preserve">CRUD </t>
    </r>
    <r>
      <rPr>
        <sz val="10"/>
        <rFont val="WenQuanYi Zen Hei"/>
        <family val="2"/>
      </rPr>
      <t xml:space="preserve">図</t>
    </r>
  </si>
  <si>
    <r>
      <rPr>
        <sz val="10"/>
        <rFont val="WenQuanYi Zen Hei"/>
        <family val="2"/>
      </rPr>
      <t xml:space="preserve">データ</t>
    </r>
    <r>
      <rPr>
        <sz val="10"/>
        <rFont val="Arial"/>
        <family val="0"/>
        <charset val="1"/>
      </rPr>
      <t xml:space="preserve">×</t>
    </r>
    <r>
      <rPr>
        <sz val="10"/>
        <rFont val="WenQuanYi Zen Hei"/>
        <family val="2"/>
      </rPr>
      <t xml:space="preserve">画面で表にする。消せる人がいると監査で聞かれる。「変える」画面が無いデータが見つかる</t>
    </r>
  </si>
  <si>
    <t xml:space="preserve">四つの役割</t>
  </si>
  <si>
    <t xml:space="preserve">権限マトリクス</t>
  </si>
  <si>
    <r>
      <rPr>
        <sz val="10"/>
        <rFont val="WenQuanYi Zen Hei"/>
        <family val="2"/>
      </rPr>
      <t xml:space="preserve">役割</t>
    </r>
    <r>
      <rPr>
        <sz val="10"/>
        <rFont val="Arial"/>
        <family val="0"/>
        <charset val="1"/>
      </rPr>
      <t xml:space="preserve">×</t>
    </r>
    <r>
      <rPr>
        <sz val="10"/>
        <rFont val="WenQuanYi Zen Hei"/>
        <family val="2"/>
      </rPr>
      <t xml:space="preserve">機能。</t>
    </r>
    <r>
      <rPr>
        <sz val="10"/>
        <rFont val="Arial"/>
        <family val="0"/>
        <charset val="1"/>
      </rPr>
      <t xml:space="preserve">ID </t>
    </r>
    <r>
      <rPr>
        <sz val="10"/>
        <rFont val="WenQuanYi Zen Hei"/>
        <family val="2"/>
      </rPr>
      <t xml:space="preserve">のグループと一対一にする</t>
    </r>
  </si>
  <si>
    <t xml:space="preserve">条件で結果が変わる決めごとは表に。空欄が決めていないこと</t>
  </si>
  <si>
    <r>
      <rPr>
        <sz val="10"/>
        <rFont val="WenQuanYi Zen Hei"/>
        <family val="2"/>
      </rPr>
      <t xml:space="preserve">優先度（</t>
    </r>
    <r>
      <rPr>
        <sz val="10"/>
        <rFont val="Arial"/>
        <family val="0"/>
        <charset val="1"/>
      </rPr>
      <t xml:space="preserve">MoSCoW</t>
    </r>
    <r>
      <rPr>
        <sz val="10"/>
        <rFont val="WenQuanYi Zen Hei"/>
        <family val="2"/>
      </rPr>
      <t xml:space="preserve">）</t>
    </r>
  </si>
  <si>
    <r>
      <rPr>
        <sz val="10"/>
        <rFont val="Arial"/>
        <family val="0"/>
        <charset val="1"/>
      </rPr>
      <t xml:space="preserve">Must</t>
    </r>
    <r>
      <rPr>
        <sz val="10"/>
        <rFont val="WenQuanYi Zen Hei"/>
        <family val="2"/>
      </rPr>
      <t xml:space="preserve">／</t>
    </r>
    <r>
      <rPr>
        <sz val="10"/>
        <rFont val="Arial"/>
        <family val="0"/>
        <charset val="1"/>
      </rPr>
      <t xml:space="preserve">Should</t>
    </r>
    <r>
      <rPr>
        <sz val="10"/>
        <rFont val="WenQuanYi Zen Hei"/>
        <family val="2"/>
      </rPr>
      <t xml:space="preserve">／</t>
    </r>
    <r>
      <rPr>
        <sz val="10"/>
        <rFont val="Arial"/>
        <family val="0"/>
        <charset val="1"/>
      </rPr>
      <t xml:space="preserve">Could</t>
    </r>
    <r>
      <rPr>
        <sz val="10"/>
        <rFont val="WenQuanYi Zen Hei"/>
        <family val="2"/>
      </rPr>
      <t xml:space="preserve">／</t>
    </r>
    <r>
      <rPr>
        <sz val="10"/>
        <rFont val="Arial"/>
        <family val="0"/>
        <charset val="1"/>
      </rPr>
      <t xml:space="preserve">Won't</t>
    </r>
    <r>
      <rPr>
        <sz val="10"/>
        <rFont val="WenQuanYi Zen Hei"/>
        <family val="2"/>
      </rPr>
      <t xml:space="preserve">。間に合わないとわかる前に決める。ロシアではない</t>
    </r>
  </si>
  <si>
    <t xml:space="preserve">八割は優先度ではない</t>
  </si>
  <si>
    <r>
      <rPr>
        <sz val="10"/>
        <rFont val="Arial"/>
        <family val="0"/>
        <charset val="1"/>
      </rPr>
      <t xml:space="preserve">Must </t>
    </r>
    <r>
      <rPr>
        <sz val="10"/>
        <rFont val="WenQuanYi Zen Hei"/>
        <family val="2"/>
      </rPr>
      <t xml:space="preserve">の上限</t>
    </r>
  </si>
  <si>
    <r>
      <rPr>
        <sz val="10"/>
        <rFont val="Arial"/>
        <family val="0"/>
        <charset val="1"/>
      </rPr>
      <t xml:space="preserve">Must </t>
    </r>
    <r>
      <rPr>
        <sz val="10"/>
        <rFont val="WenQuanYi Zen Hei"/>
        <family val="2"/>
      </rPr>
      <t xml:space="preserve">が七〜八割なら一件ずつ聞き直す。「あったほうがいい」が紛れている</t>
    </r>
  </si>
  <si>
    <t xml:space="preserve">合意した版を固定し、以後は変更の手順で変える。凍結しないと変更管理が使えない</t>
  </si>
  <si>
    <t xml:space="preserve">紙の画面</t>
  </si>
  <si>
    <t xml:space="preserve">プロトタイプ</t>
  </si>
  <si>
    <t xml:space="preserve">作るなら描く。借りるなら描かず、選定後に本物で試す</t>
  </si>
  <si>
    <r>
      <rPr>
        <sz val="10"/>
        <rFont val="WenQuanYi Zen Hei"/>
        <family val="2"/>
      </rPr>
      <t xml:space="preserve">厚い紙（</t>
    </r>
    <r>
      <rPr>
        <sz val="10"/>
        <rFont val="Arial"/>
        <family val="0"/>
        <charset val="1"/>
      </rPr>
      <t xml:space="preserve">RFP</t>
    </r>
    <r>
      <rPr>
        <sz val="10"/>
        <rFont val="WenQuanYi Zen Hei"/>
        <family val="2"/>
      </rPr>
      <t xml:space="preserve">）の前に、対応の可否だけ聞いて三社まで絞る</t>
    </r>
  </si>
  <si>
    <t xml:space="preserve">提案依頼</t>
  </si>
  <si>
    <t xml:space="preserve">選ぶ基準と重みを先に書いて見せる。デモの進め方と見積の書き方も指定する</t>
  </si>
  <si>
    <t xml:space="preserve">読む前に決めた重みで採点する。「総合的に判断して」を言わないため</t>
  </si>
  <si>
    <t xml:space="preserve">こちらの台本とこちらの実データで、三社同じ流れ。相手の得意画面は見ない</t>
  </si>
  <si>
    <r>
      <rPr>
        <sz val="10"/>
        <rFont val="WenQuanYi Zen Hei"/>
        <family val="2"/>
      </rPr>
      <t xml:space="preserve">契約前に連携と </t>
    </r>
    <r>
      <rPr>
        <sz val="10"/>
        <rFont val="Arial"/>
        <family val="0"/>
        <charset val="1"/>
      </rPr>
      <t xml:space="preserve">SSO </t>
    </r>
    <r>
      <rPr>
        <sz val="10"/>
        <rFont val="WenQuanYi Zen Hei"/>
        <family val="2"/>
      </rPr>
      <t xml:space="preserve">を試す。現場の人にも触らせる（振り返りで反省）</t>
    </r>
  </si>
  <si>
    <t xml:space="preserve">導入先には「一番苦労したこと」だけ聞く。聞いた答えを自分の見立てで打ち消さない</t>
  </si>
  <si>
    <t xml:space="preserve">初期＋ランニング＋こちら側の手作業。安い提案は手作業を前提にしている</t>
  </si>
  <si>
    <t xml:space="preserve">一式</t>
  </si>
  <si>
    <t xml:space="preserve">見積の内訳</t>
  </si>
  <si>
    <t xml:space="preserve">作業ごとに人日と単価。内訳が行ごとに分かれていると、後で「内製で」と言える</t>
  </si>
  <si>
    <t xml:space="preserve">責任の境目</t>
  </si>
  <si>
    <t xml:space="preserve">責任分界点</t>
  </si>
  <si>
    <r>
      <rPr>
        <sz val="10"/>
        <rFont val="Arial"/>
        <family val="0"/>
        <charset val="1"/>
      </rPr>
      <t xml:space="preserve">SaaS </t>
    </r>
    <r>
      <rPr>
        <sz val="10"/>
        <rFont val="WenQuanYi Zen Hei"/>
        <family val="2"/>
      </rPr>
      <t xml:space="preserve">本体／連携／相手側 </t>
    </r>
    <r>
      <rPr>
        <sz val="10"/>
        <rFont val="Arial"/>
        <family val="0"/>
        <charset val="1"/>
      </rPr>
      <t xml:space="preserve">API</t>
    </r>
    <r>
      <rPr>
        <sz val="10"/>
        <rFont val="WenQuanYi Zen Hei"/>
        <family val="2"/>
      </rPr>
      <t xml:space="preserve">／</t>
    </r>
    <r>
      <rPr>
        <sz val="10"/>
        <rFont val="Arial"/>
        <family val="0"/>
        <charset val="1"/>
      </rPr>
      <t xml:space="preserve">ID</t>
    </r>
    <r>
      <rPr>
        <sz val="10"/>
        <rFont val="WenQuanYi Zen Hei"/>
        <family val="2"/>
      </rPr>
      <t xml:space="preserve">。境目の不具合は両側を同席させる</t>
    </r>
  </si>
  <si>
    <t xml:space="preserve">出口</t>
  </si>
  <si>
    <t xml:space="preserve">出口条項・データの帰属</t>
  </si>
  <si>
    <t xml:space="preserve">全件出せるか、何日で、どの形式で、作ったものは誰のものか。契約書に書く</t>
  </si>
  <si>
    <t xml:space="preserve">出られなくなる</t>
  </si>
  <si>
    <t xml:space="preserve">ベンダーロックイン</t>
  </si>
  <si>
    <t xml:space="preserve">独自形式・独自連携が多いほど深い。出口があると出なくて済む</t>
  </si>
  <si>
    <t xml:space="preserve">99.5%</t>
  </si>
  <si>
    <r>
      <rPr>
        <sz val="10"/>
        <rFont val="Arial"/>
        <family val="0"/>
        <charset val="1"/>
      </rPr>
      <t xml:space="preserve">SLA </t>
    </r>
    <r>
      <rPr>
        <sz val="10"/>
        <rFont val="WenQuanYi Zen Hei"/>
        <family val="2"/>
      </rPr>
      <t xml:space="preserve">の読み方</t>
    </r>
  </si>
  <si>
    <r>
      <rPr>
        <sz val="10"/>
        <rFont val="WenQuanYi Zen Hei"/>
        <family val="2"/>
      </rPr>
      <t xml:space="preserve">月三時間半止まる。止まったときの手をこちら側で持つ。</t>
    </r>
    <r>
      <rPr>
        <sz val="10"/>
        <rFont val="Arial"/>
        <family val="0"/>
        <charset val="1"/>
      </rPr>
      <t xml:space="preserve">99.9% </t>
    </r>
    <r>
      <rPr>
        <sz val="10"/>
        <rFont val="WenQuanYi Zen Hei"/>
        <family val="2"/>
      </rPr>
      <t xml:space="preserve">に倍を払うかは業務が決める</t>
    </r>
  </si>
  <si>
    <t xml:space="preserve">時間で払う・成果で払う</t>
  </si>
  <si>
    <t xml:space="preserve">準委任／請負</t>
  </si>
  <si>
    <t xml:space="preserve">融通と保証のトレードオフ。夜座は準委任で「適宜」</t>
  </si>
  <si>
    <t xml:space="preserve">三か月で区切る</t>
  </si>
  <si>
    <t xml:space="preserve">多段階契約</t>
  </si>
  <si>
    <t xml:space="preserve">導入支援と保守を分ける。固まっていない段階で一年分を約束しない</t>
  </si>
  <si>
    <t xml:space="preserve">部署ごとに帯を分けて描く。帯を跨ぐ矢印の数が転記と待ちの数</t>
  </si>
  <si>
    <t xml:space="preserve">七つのムダ</t>
  </si>
  <si>
    <t xml:space="preserve">リーン（トヨタ生産方式）</t>
  </si>
  <si>
    <t xml:space="preserve">作りすぎ・手待ち・運搬・加工・在庫・動作・不良。事務にも当てはめる。七つ全部あれば改革</t>
  </si>
  <si>
    <t xml:space="preserve">一番遅い工程</t>
  </si>
  <si>
    <r>
      <rPr>
        <sz val="10"/>
        <rFont val="WenQuanYi Zen Hei"/>
        <family val="2"/>
      </rPr>
      <t xml:space="preserve">制約理論（</t>
    </r>
    <r>
      <rPr>
        <sz val="10"/>
        <rFont val="Arial"/>
        <family val="0"/>
        <charset val="1"/>
      </rPr>
      <t xml:space="preserve">TOC</t>
    </r>
    <r>
      <rPr>
        <sz val="10"/>
        <rFont val="WenQuanYi Zen Hei"/>
        <family val="2"/>
      </rPr>
      <t xml:space="preserve">）</t>
    </r>
  </si>
  <si>
    <t xml:space="preserve">全体の速さは一番遅い工程で決まる。そこ以外を速くしても意味がない</t>
  </si>
  <si>
    <t xml:space="preserve">なぜこの工程があるか</t>
  </si>
  <si>
    <t xml:space="preserve">ゼロベース思考</t>
  </si>
  <si>
    <t xml:space="preserve">答えられない工程は無くしていい候補。答えられる工程は残す</t>
  </si>
  <si>
    <t xml:space="preserve">使う順に並べる</t>
  </si>
  <si>
    <r>
      <rPr>
        <sz val="10"/>
        <rFont val="WenQuanYi Zen Hei"/>
        <family val="2"/>
      </rPr>
      <t xml:space="preserve">型の棚（</t>
    </r>
    <r>
      <rPr>
        <sz val="10"/>
        <rFont val="Arial"/>
        <family val="0"/>
        <charset val="1"/>
      </rPr>
      <t xml:space="preserve">BPR</t>
    </r>
    <r>
      <rPr>
        <sz val="10"/>
        <rFont val="WenQuanYi Zen Hei"/>
        <family val="2"/>
      </rPr>
      <t xml:space="preserve">・シックスシグマ・</t>
    </r>
    <r>
      <rPr>
        <sz val="10"/>
        <rFont val="Arial"/>
        <family val="0"/>
        <charset val="1"/>
      </rPr>
      <t xml:space="preserve">DX </t>
    </r>
    <r>
      <rPr>
        <sz val="10"/>
        <rFont val="WenQuanYi Zen Hei"/>
        <family val="2"/>
      </rPr>
      <t xml:space="preserve">の三段階・</t>
    </r>
    <r>
      <rPr>
        <sz val="10"/>
        <rFont val="Arial"/>
        <family val="0"/>
        <charset val="1"/>
      </rPr>
      <t xml:space="preserve">PDCA</t>
    </r>
    <r>
      <rPr>
        <sz val="10"/>
        <rFont val="WenQuanYi Zen Hei"/>
        <family val="2"/>
      </rPr>
      <t xml:space="preserve">・</t>
    </r>
    <r>
      <rPr>
        <sz val="10"/>
        <rFont val="Arial"/>
        <family val="0"/>
        <charset val="1"/>
      </rPr>
      <t xml:space="preserve">OODA</t>
    </r>
    <r>
      <rPr>
        <sz val="10"/>
        <rFont val="WenQuanYi Zen Hei"/>
        <family val="2"/>
      </rPr>
      <t xml:space="preserve">）</t>
    </r>
  </si>
  <si>
    <t xml:space="preserve">今使う／後で使う／順番だけ借りる／名前だけ。全部は使わない</t>
  </si>
  <si>
    <t xml:space="preserve">左上から着手、右上は始めるが終わりを待たない、右下はやらない、左下はついでに</t>
  </si>
  <si>
    <t xml:space="preserve">一番上の指標の下に枝を置き、業務の変え方と一対一にする。何が効いたかが測れる</t>
  </si>
  <si>
    <t xml:space="preserve">全体を持つ人</t>
  </si>
  <si>
    <t xml:space="preserve">プロセスオーナー</t>
  </si>
  <si>
    <t xml:space="preserve">部署ごとの業務オーナーとは別に、経路横断で見る人を置く。部門最適を防ぐ</t>
  </si>
  <si>
    <t xml:space="preserve">止まったときの上げ方</t>
  </si>
  <si>
    <t xml:space="preserve">エスカレーションルール</t>
  </si>
  <si>
    <r>
      <rPr>
        <sz val="10"/>
        <rFont val="WenQuanYi Zen Hei"/>
        <family val="2"/>
      </rPr>
      <t xml:space="preserve">担当→</t>
    </r>
    <r>
      <rPr>
        <sz val="10"/>
        <rFont val="Arial"/>
        <family val="0"/>
        <charset val="1"/>
      </rPr>
      <t xml:space="preserve">PM</t>
    </r>
    <r>
      <rPr>
        <sz val="10"/>
        <rFont val="WenQuanYi Zen Hei"/>
        <family val="2"/>
      </rPr>
      <t xml:space="preserve">（二日）→社長（一週間）。基準が無いと止まったまま誰も言わない</t>
    </r>
  </si>
  <si>
    <t xml:space="preserve">測れる形</t>
  </si>
  <si>
    <r>
      <rPr>
        <sz val="10"/>
        <rFont val="WenQuanYi Zen Hei"/>
        <family val="2"/>
      </rPr>
      <t xml:space="preserve">要件の検証可能性（</t>
    </r>
    <r>
      <rPr>
        <sz val="10"/>
        <rFont val="Arial"/>
        <family val="0"/>
        <charset val="1"/>
      </rPr>
      <t xml:space="preserve">SMART</t>
    </r>
    <r>
      <rPr>
        <sz val="10"/>
        <rFont val="WenQuanYi Zen Hei"/>
        <family val="2"/>
      </rPr>
      <t xml:space="preserve">）</t>
    </r>
  </si>
  <si>
    <t xml:space="preserve">「速く」でなく「三秒以内」。測れない要件は合否を誰も言えない</t>
  </si>
  <si>
    <t xml:space="preserve">下</t>
  </si>
  <si>
    <r>
      <rPr>
        <sz val="10"/>
        <rFont val="WenQuanYi Zen Hei"/>
        <family val="2"/>
      </rPr>
      <t xml:space="preserve">業務・画面・帳票・</t>
    </r>
    <r>
      <rPr>
        <sz val="10"/>
        <rFont val="Arial"/>
        <family val="0"/>
        <charset val="1"/>
      </rPr>
      <t xml:space="preserve">IF</t>
    </r>
    <r>
      <rPr>
        <sz val="10"/>
        <rFont val="WenQuanYi Zen Hei"/>
        <family val="2"/>
      </rPr>
      <t xml:space="preserve">・データ。使う側が承認する。設定してから見せると「思っていたのと違う」が三百回</t>
    </r>
  </si>
  <si>
    <t xml:space="preserve">作る側の内部</t>
  </si>
  <si>
    <t xml:space="preserve">詳細設計</t>
  </si>
  <si>
    <r>
      <rPr>
        <sz val="10"/>
        <rFont val="WenQuanYi Zen Hei"/>
        <family val="2"/>
      </rPr>
      <t xml:space="preserve">基本設計の </t>
    </r>
    <r>
      <rPr>
        <sz val="10"/>
        <rFont val="Arial"/>
        <family val="0"/>
        <charset val="1"/>
      </rPr>
      <t xml:space="preserve">IF </t>
    </r>
    <r>
      <rPr>
        <sz val="10"/>
        <rFont val="WenQuanYi Zen Hei"/>
        <family val="2"/>
      </rPr>
      <t xml:space="preserve">仕様が両者の約束</t>
    </r>
  </si>
  <si>
    <t xml:space="preserve">エラーの行</t>
  </si>
  <si>
    <t xml:space="preserve">異常系設計</t>
  </si>
  <si>
    <t xml:space="preserve">設計書の価値は異常時に何をするかで決まる。端の値も設計書に書く</t>
  </si>
  <si>
    <t xml:space="preserve">二回届いても一回分</t>
  </si>
  <si>
    <t xml:space="preserve">冪等性</t>
  </si>
  <si>
    <t xml:space="preserve">再送する側を直すだけでは足りない。受ける側に「同じ番号を二回送ったらどうなるか」を聞く</t>
  </si>
  <si>
    <t xml:space="preserve">一つの単位</t>
  </si>
  <si>
    <t xml:space="preserve">トランザクション整合性</t>
  </si>
  <si>
    <t xml:space="preserve">受注と引当は片方だけ残さない。半分残ると在庫と受注が合わない</t>
  </si>
  <si>
    <t xml:space="preserve">じっくりの記録</t>
  </si>
  <si>
    <t xml:space="preserve">監査ログ</t>
  </si>
  <si>
    <t xml:space="preserve">誰が・いつ・何を・どう変えたか。監査のための記録が承認の証拠にもなる</t>
  </si>
  <si>
    <t xml:space="preserve">見つけて、業務オーナーが決め、名前を記録。空欄は表にしておくと見える</t>
  </si>
  <si>
    <t xml:space="preserve">設計書と設定値に版を付ける。どの版で合意したかが変更の起点</t>
  </si>
  <si>
    <t xml:space="preserve">借りるなら描かず、三画面だけ先に設定して触ってもらう</t>
  </si>
  <si>
    <t xml:space="preserve">「当然」の違い</t>
  </si>
  <si>
    <t xml:space="preserve">暗黙の前提</t>
  </si>
  <si>
    <t xml:space="preserve">作る側と使う側の当然は違う。書いてないことは作られない</t>
  </si>
  <si>
    <t xml:space="preserve">一枚の表</t>
  </si>
  <si>
    <r>
      <rPr>
        <sz val="10"/>
        <rFont val="Arial"/>
        <family val="0"/>
        <charset val="1"/>
      </rPr>
      <t xml:space="preserve">WBS</t>
    </r>
    <r>
      <rPr>
        <sz val="10"/>
        <rFont val="WenQuanYi Zen Hei"/>
        <family val="2"/>
      </rPr>
      <t xml:space="preserve">／進捗管理</t>
    </r>
  </si>
  <si>
    <t xml:space="preserve">作業の名前で聞く。「九割」が二週続いたら五割</t>
  </si>
  <si>
    <t xml:space="preserve">一日遅れたら</t>
  </si>
  <si>
    <t xml:space="preserve">クリティカルパス</t>
  </si>
  <si>
    <t xml:space="preserve">一日遅れると期限が一日遅れる作業の列。外部の日程も含める。予備はここに置く</t>
  </si>
  <si>
    <t xml:space="preserve">三点見積</t>
  </si>
  <si>
    <t xml:space="preserve">楽観・最頻・悲観。表には悲観で置く。空くほうがいい</t>
  </si>
  <si>
    <t xml:space="preserve">予備の置き場</t>
  </si>
  <si>
    <t xml:space="preserve">バッファ管理（学生症候群）</t>
  </si>
  <si>
    <t xml:space="preserve">全部に予備を置くと全部使い切る。余裕があると着手が遅れる</t>
  </si>
  <si>
    <t xml:space="preserve">課題管理・リスク管理</t>
  </si>
  <si>
    <t xml:space="preserve">二枚に分ける。起きたら移す</t>
  </si>
  <si>
    <t xml:space="preserve">誰に・いつ・何を・どの手段で。関心は放っておくと二か月で消える</t>
  </si>
  <si>
    <t xml:space="preserve">影響を見て、決める場で決める。直接頼むと五回で破綻する</t>
  </si>
  <si>
    <t xml:space="preserve">四段階</t>
  </si>
  <si>
    <r>
      <rPr>
        <sz val="10"/>
        <rFont val="WenQuanYi Zen Hei"/>
        <family val="2"/>
      </rPr>
      <t xml:space="preserve">単体／結合／システム／</t>
    </r>
    <r>
      <rPr>
        <sz val="10"/>
        <rFont val="Arial"/>
        <family val="0"/>
        <charset val="1"/>
      </rPr>
      <t xml:space="preserve">UAT</t>
    </r>
  </si>
  <si>
    <r>
      <rPr>
        <sz val="10"/>
        <rFont val="WenQuanYi Zen Hei"/>
        <family val="2"/>
      </rPr>
      <t xml:space="preserve">異常系まで。作った人、</t>
    </r>
    <r>
      <rPr>
        <sz val="10"/>
        <rFont val="Arial"/>
        <family val="0"/>
        <charset val="1"/>
      </rPr>
      <t xml:space="preserve">PMO</t>
    </r>
    <r>
      <rPr>
        <sz val="10"/>
        <rFont val="WenQuanYi Zen Hei"/>
        <family val="2"/>
      </rPr>
      <t xml:space="preserve">、業務の人と、試す人が変わる</t>
    </r>
  </si>
  <si>
    <t xml:space="preserve">端の値</t>
  </si>
  <si>
    <t xml:space="preserve">境界値テスト</t>
  </si>
  <si>
    <r>
      <rPr>
        <sz val="10"/>
        <rFont val="Arial"/>
        <family val="0"/>
        <charset val="1"/>
      </rPr>
      <t xml:space="preserve">0</t>
    </r>
    <r>
      <rPr>
        <sz val="10"/>
        <rFont val="WenQuanYi Zen Hei"/>
        <family val="2"/>
      </rPr>
      <t xml:space="preserve">・マイナス・</t>
    </r>
    <r>
      <rPr>
        <sz val="10"/>
        <rFont val="Arial"/>
        <family val="0"/>
        <charset val="1"/>
      </rPr>
      <t xml:space="preserve">999</t>
    </r>
    <r>
      <rPr>
        <sz val="10"/>
        <rFont val="WenQuanYi Zen Hei"/>
        <family val="2"/>
      </rPr>
      <t xml:space="preserve">・全角。端が設計書に無いと作る側が端を決める</t>
    </r>
  </si>
  <si>
    <t xml:space="preserve">一本の流れ</t>
  </si>
  <si>
    <t xml:space="preserve">シナリオテスト</t>
  </si>
  <si>
    <t xml:space="preserve">受注から請求まで業務を一巡させる。機能単位で合格しても通しで落ちる</t>
  </si>
  <si>
    <t xml:space="preserve">直すたびに全部流す。全部流せる本数（十五本）にしておく</t>
  </si>
  <si>
    <t xml:space="preserve">連携は一発、画面は小さく</t>
  </si>
  <si>
    <t xml:space="preserve">仕様が決まっている部分は一発、触らないと違いが出ない部分は反復</t>
  </si>
  <si>
    <t xml:space="preserve">発見・原因・対策・担当・期限・状態。同じ画面に集まれば設計の問題</t>
  </si>
  <si>
    <t xml:space="preserve">始める前に決める。致命ゼロ、重大は回避策つきで三件以下</t>
  </si>
  <si>
    <t xml:space="preserve">部屋ごとに運ぶ</t>
  </si>
  <si>
    <t xml:space="preserve">移行方式（段階切替）</t>
  </si>
  <si>
    <t xml:space="preserve">一発・並行・段階。経路ごとに切り替え、その経路だけ戻す</t>
  </si>
  <si>
    <t xml:space="preserve">戻す基準</t>
  </si>
  <si>
    <t xml:space="preserve">ロールバック計画</t>
  </si>
  <si>
    <t xml:space="preserve">何が起きたら、誰が、いつまでに判断し、どう戻すか</t>
  </si>
  <si>
    <t xml:space="preserve">止める時間</t>
  </si>
  <si>
    <t xml:space="preserve">業務凍結（フリーズ）</t>
  </si>
  <si>
    <t xml:space="preserve">旧業務への入力を止める時間と、その間に来た注文の行き先</t>
  </si>
  <si>
    <t xml:space="preserve">分で書く</t>
  </si>
  <si>
    <t xml:space="preserve">切替手順書（タイムライン）</t>
  </si>
  <si>
    <t xml:space="preserve">何時に誰が何をするか。件数と金額の照合を手順に入れる</t>
  </si>
  <si>
    <t xml:space="preserve">四役</t>
  </si>
  <si>
    <t xml:space="preserve">切替当日の体制</t>
  </si>
  <si>
    <t xml:space="preserve">二回やる</t>
  </si>
  <si>
    <t xml:space="preserve">移行リハーサル</t>
  </si>
  <si>
    <t xml:space="preserve">一回目で壊れる場所を知り、二回目で直したことを確かめる</t>
  </si>
  <si>
    <t xml:space="preserve">変換の表</t>
  </si>
  <si>
    <t xml:space="preserve">データ移行の変換ルール</t>
  </si>
  <si>
    <t xml:space="preserve">略称→正式名、廃番→廃番コード。手で直さず表で直す。本番でも同じ結果になる</t>
  </si>
  <si>
    <t xml:space="preserve">件数と金額</t>
  </si>
  <si>
    <t xml:space="preserve">移行データ検証</t>
  </si>
  <si>
    <t xml:space="preserve">件数が合っても金額は合わないことがある。両方照らす</t>
  </si>
  <si>
    <t xml:space="preserve">項目と基準を先に決める。印鑑の欄を足す</t>
  </si>
  <si>
    <t xml:space="preserve">影響が大きくて関心が低い人に、先に「何も変わらない」と言う</t>
  </si>
  <si>
    <t xml:space="preserve">書けなくする</t>
  </si>
  <si>
    <t xml:space="preserve">旧手段の停止</t>
  </si>
  <si>
    <r>
      <rPr>
        <sz val="10"/>
        <rFont val="WenQuanYi Zen Hei"/>
        <family val="2"/>
      </rPr>
      <t xml:space="preserve">旧 </t>
    </r>
    <r>
      <rPr>
        <sz val="10"/>
        <rFont val="Arial"/>
        <family val="0"/>
        <charset val="1"/>
      </rPr>
      <t xml:space="preserve">Excel </t>
    </r>
    <r>
      <rPr>
        <sz val="10"/>
        <rFont val="WenQuanYi Zen Hei"/>
        <family val="2"/>
      </rPr>
      <t xml:space="preserve">は残したまま読み取り専用に。残すと使う</t>
    </r>
  </si>
  <si>
    <t xml:space="preserve">二時間以内</t>
  </si>
  <si>
    <t xml:space="preserve">回避策の体制（ハイパーケア前夜）</t>
  </si>
  <si>
    <t xml:space="preserve">本番で初めて起きることは必ずある。回避策を立てる時間と人を先に決める</t>
  </si>
  <si>
    <t xml:space="preserve">二週間</t>
  </si>
  <si>
    <t xml:space="preserve">ハイパーケア</t>
  </si>
  <si>
    <t xml:space="preserve">切替直後の即日対応期間。三週目で減らなければ設計か教育の問題</t>
  </si>
  <si>
    <t xml:space="preserve">下がってから上がる</t>
  </si>
  <si>
    <t xml:space="preserve">変化曲線</t>
  </si>
  <si>
    <t xml:space="preserve">二週目に一度、前より遅くなる。先に伝える。戻すと二度と追い越さない</t>
  </si>
  <si>
    <t xml:space="preserve">四つの理由</t>
  </si>
  <si>
    <t xml:space="preserve">抵抗の四類型</t>
  </si>
  <si>
    <t xml:space="preserve">五つの順番</t>
  </si>
  <si>
    <t xml:space="preserve">ADKAR</t>
  </si>
  <si>
    <t xml:space="preserve">認知→欲求→知識→能力→強化。知識だけ教えて本番にすると覚えない</t>
  </si>
  <si>
    <t xml:space="preserve">説明会→ハンズオン→本番直前の再確認。三回目は覚えたかを確かめる回</t>
  </si>
  <si>
    <t xml:space="preserve">ハイパーケアの問い合わせを一覧にして一番上に貼る。同じ質問が来なくなる</t>
  </si>
  <si>
    <t xml:space="preserve">定着度の測定</t>
  </si>
  <si>
    <t xml:space="preserve">新システムの利用率より、旧い手段が残っている回数のほうが正直</t>
  </si>
  <si>
    <r>
      <rPr>
        <sz val="10"/>
        <rFont val="WenQuanYi Zen Hei"/>
        <family val="2"/>
      </rPr>
      <t xml:space="preserve">念のための </t>
    </r>
    <r>
      <rPr>
        <sz val="10"/>
        <rFont val="Arial"/>
        <family val="0"/>
        <charset val="1"/>
      </rPr>
      <t xml:space="preserve">Excel</t>
    </r>
  </si>
  <si>
    <t xml:space="preserve">抜け道の封鎖</t>
  </si>
  <si>
    <t xml:space="preserve">「念のため」は使われる。残すなら書けなくする</t>
  </si>
  <si>
    <t xml:space="preserve">効いたことを経営者が自分の口で、早く、具体的に言う</t>
  </si>
  <si>
    <t xml:space="preserve">先に覚えた人</t>
  </si>
  <si>
    <t xml:space="preserve">キーユーザー</t>
  </si>
  <si>
    <t xml:space="preserve">部署ごとに一人。窓口の前にもう一段置く</t>
  </si>
  <si>
    <t xml:space="preserve">終わったあと</t>
  </si>
  <si>
    <t xml:space="preserve">運用設計</t>
  </si>
  <si>
    <t xml:space="preserve">窓口・マスタ・不具合・変更・版上げ・監視・棚卸し・手順書の更新・つなぎの片づけ・効果の測定</t>
  </si>
  <si>
    <t xml:space="preserve">つなぎの片づけ</t>
  </si>
  <si>
    <t xml:space="preserve">技術的負債の管理</t>
  </si>
  <si>
    <t xml:space="preserve">急いで作ったものは、いつ消すかを今書く。残すと二重管理</t>
  </si>
  <si>
    <t xml:space="preserve">手順書の直す人</t>
  </si>
  <si>
    <t xml:space="preserve">業務標準の維持</t>
  </si>
  <si>
    <t xml:space="preserve">更新されない手順書は半年で嘘になる。直す人と直した日を書く</t>
  </si>
  <si>
    <t xml:space="preserve">半年測る</t>
  </si>
  <si>
    <t xml:space="preserve">ベネフィット実現管理</t>
  </si>
  <si>
    <t xml:space="preserve">効果はプロジェクトの後に出る。測る人と時期を先に決める</t>
  </si>
  <si>
    <t xml:space="preserve">体温</t>
  </si>
  <si>
    <r>
      <rPr>
        <sz val="10"/>
        <rFont val="WenQuanYi Zen Hei"/>
        <family val="2"/>
      </rPr>
      <t xml:space="preserve">効果測定（</t>
    </r>
    <r>
      <rPr>
        <sz val="10"/>
        <rFont val="Arial"/>
        <family val="0"/>
        <charset val="1"/>
      </rPr>
      <t xml:space="preserve">KPI</t>
    </r>
    <r>
      <rPr>
        <sz val="10"/>
        <rFont val="WenQuanYi Zen Hei"/>
        <family val="2"/>
      </rPr>
      <t xml:space="preserve">）</t>
    </r>
  </si>
  <si>
    <t xml:space="preserve">構想書の指標に対して報告。回収期間を実績で計算し直す</t>
  </si>
  <si>
    <t xml:space="preserve">良かった・悪かった・次</t>
  </si>
  <si>
    <t xml:space="preserve">振り返り（レトロスペクティブ）</t>
  </si>
  <si>
    <t xml:space="preserve">個人を責めない。自分の見立てで打ち消したことも挙げる</t>
  </si>
  <si>
    <t xml:space="preserve">八つの段</t>
  </si>
  <si>
    <r>
      <rPr>
        <sz val="10"/>
        <rFont val="Arial"/>
        <family val="0"/>
        <charset val="1"/>
      </rPr>
      <t xml:space="preserve">Kotter </t>
    </r>
    <r>
      <rPr>
        <sz val="10"/>
        <rFont val="WenQuanYi Zen Hei"/>
        <family val="2"/>
      </rPr>
      <t xml:space="preserve">の変革八段階</t>
    </r>
  </si>
  <si>
    <t xml:space="preserve">危機感→推進→姿→伝える→障害除去→短期成果→定着→文化。本は後から読むと当たっている</t>
  </si>
  <si>
    <t xml:space="preserve">一から枠を作らない。軸を先に置いて、枠に入れて話す。入らなければ壊す</t>
  </si>
  <si>
    <t xml:space="preserve">節目の一文</t>
  </si>
  <si>
    <t xml:space="preserve">マイルストーン</t>
  </si>
  <si>
    <t xml:space="preserve">日付のほかに「何ができていれば通過か」を書く。日付だけの節目は来れば通過にされる</t>
  </si>
  <si>
    <t xml:space="preserve">観点・範囲・環境・データ・体制・合格基準。十枚は誰も読まない</t>
  </si>
  <si>
    <t xml:space="preserve">上から流す・短く回す</t>
  </si>
  <si>
    <t xml:space="preserve">ウォーターフォール／アジャイル</t>
  </si>
  <si>
    <t xml:space="preserve">固まる部分は上から、固まらない部分は短く。全部を短く回すと連携先が困る</t>
  </si>
  <si>
    <t xml:space="preserve">最小を先に</t>
  </si>
  <si>
    <r>
      <rPr>
        <sz val="10"/>
        <rFont val="Arial"/>
        <family val="0"/>
        <charset val="1"/>
      </rPr>
      <t xml:space="preserve">MVP</t>
    </r>
    <r>
      <rPr>
        <sz val="10"/>
        <rFont val="WenQuanYi Zen Hei"/>
        <family val="2"/>
      </rPr>
      <t xml:space="preserve">／段階リリース</t>
    </r>
  </si>
  <si>
    <t xml:space="preserve">経路ごとに先に出して足す</t>
  </si>
  <si>
    <t xml:space="preserve">つなぎの手順</t>
  </si>
  <si>
    <t xml:space="preserve">暫定業務（ブリッジ）</t>
  </si>
  <si>
    <t xml:space="preserve">新旧が混ざる期間の手順を別に書く。短いほどいいがゼロにはならない</t>
  </si>
  <si>
    <t xml:space="preserve">直し続ける</t>
  </si>
  <si>
    <r>
      <rPr>
        <sz val="10"/>
        <rFont val="Arial"/>
        <family val="0"/>
        <charset val="1"/>
      </rPr>
      <t xml:space="preserve">PDCA</t>
    </r>
    <r>
      <rPr>
        <sz val="10"/>
        <rFont val="WenQuanYi Zen Hei"/>
        <family val="2"/>
      </rPr>
      <t xml:space="preserve">（継続改善）</t>
    </r>
  </si>
  <si>
    <t xml:space="preserve">稼働後は計画→実行→評価→改善の輪。要望一覧を四半期ごとに</t>
  </si>
  <si>
    <t xml:space="preserve">年に一度</t>
  </si>
  <si>
    <t xml:space="preserve">年次の業務棚卸し</t>
  </si>
  <si>
    <t xml:space="preserve">七月の一覧を更新し、無くなった業務と影の仕事を確かめる</t>
  </si>
  <si>
    <t xml:space="preserve">名前だけ</t>
  </si>
  <si>
    <r>
      <rPr>
        <sz val="10"/>
        <rFont val="Arial"/>
        <family val="0"/>
        <charset val="1"/>
      </rPr>
      <t xml:space="preserve">EVM</t>
    </r>
    <r>
      <rPr>
        <sz val="10"/>
        <rFont val="WenQuanYi Zen Hei"/>
        <family val="2"/>
      </rPr>
      <t xml:space="preserve">・</t>
    </r>
    <r>
      <rPr>
        <sz val="10"/>
        <rFont val="Arial"/>
        <family val="0"/>
        <charset val="1"/>
      </rPr>
      <t xml:space="preserve">BPMN</t>
    </r>
    <r>
      <rPr>
        <sz val="10"/>
        <rFont val="WenQuanYi Zen Hei"/>
        <family val="2"/>
      </rPr>
      <t xml:space="preserve">・</t>
    </r>
    <r>
      <rPr>
        <sz val="10"/>
        <rFont val="Arial"/>
        <family val="0"/>
        <charset val="1"/>
      </rPr>
      <t xml:space="preserve">DMAIC</t>
    </r>
  </si>
  <si>
    <t xml:space="preserve">出来高で進捗を測る／業務フロー記法の標準／測ってから直す五段階。この規模では名前だけ知っておく</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</si>
</sst>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2"/>
      <name val="WenQuanYi Zen Hei"/>
      <family val="2"/>
    </font>
    <font>
      <sz val="10"/>
      <name val="WenQuanYi Zen Hei"/>
      <family val="2"/>
    </font>
    <font>
      <sz val="10"/>
      <name val="Arial"/>
      <family val="0"/>
      <charset val="1"/>
    </font>
    <font>
      <b val="true"/>
      <sz val="10"/>
      <name val="WenQuanYi Zen Hei"/>
      <family val="2"/>
    </font>
    <font>
      <b val="true"/>
      <sz val="10"/>
      <color rgb="FFFFFFFF"/>
      <name val="WenQuanYi Zen Hei"/>
      <family val="2"/>
    </font>
    <font>
      <b val="true"/>
      <sz val="10"/>
      <name val="Arial"/>
      <family val="0"/>
      <charset val="1"/>
    </font>
    <font>
      <i val="true"/>
      <sz val="9"/>
      <name val="WenQuanYi Zen Hei"/>
      <family val="2"/>
    </font>
    <font>
      <i val="true"/>
      <sz val="9"/>
      <name val="Arial"/>
      <family val="0"/>
      <charset val="1"/>
    </font>
    <font>
      <b val="true"/>
      <sz val="10"/>
      <color rgb="FFFFFFFF"/>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DEEAF6"/>
        <bgColor rgb="FFDDEBF7"/>
      </patternFill>
    </fill>
    <fill>
      <patternFill patternType="solid">
        <fgColor rgb="FFE2EFDA"/>
        <bgColor rgb="FFEDEDED"/>
      </patternFill>
    </fill>
    <fill>
      <patternFill patternType="solid">
        <fgColor rgb="FFFFF2CC"/>
        <bgColor rgb="FFFCE4D6"/>
      </patternFill>
    </fill>
    <fill>
      <patternFill patternType="solid">
        <fgColor rgb="FFFCE4D6"/>
        <bgColor rgb="FFFFF2CC"/>
      </patternFill>
    </fill>
    <fill>
      <patternFill patternType="solid">
        <fgColor rgb="FFEDEDED"/>
        <bgColor rgb="FFE2EFDA"/>
      </patternFill>
    </fill>
    <fill>
      <patternFill patternType="solid">
        <fgColor rgb="FFDDEBF7"/>
        <bgColor rgb="FFDEEAF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DEEAF6"/>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DEEAF6"/>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0"/>
  </cols>
  <sheetData>
    <row r="1" customFormat="false" ht="16.4"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3" t="s">
        <v>7</v>
      </c>
    </row>
    <row r="11" customFormat="false" ht="15" hidden="false" customHeight="false" outlineLevel="0" collapsed="false">
      <c r="A11" s="4" t="s">
        <v>8</v>
      </c>
    </row>
    <row r="12" customFormat="false" ht="15" hidden="false" customHeight="false" outlineLevel="0" collapsed="false">
      <c r="A12" s="4" t="s">
        <v>9</v>
      </c>
    </row>
    <row r="13" customFormat="false" ht="15" hidden="false" customHeight="false" outlineLevel="0" collapsed="false">
      <c r="A13" s="4" t="s">
        <v>10</v>
      </c>
    </row>
    <row r="14" customFormat="false" ht="15" hidden="false" customHeight="false" outlineLevel="0" collapsed="false">
      <c r="A14" s="2"/>
    </row>
    <row r="15" customFormat="false" ht="15" hidden="false" customHeight="false" outlineLevel="0" collapsed="false">
      <c r="A15" s="3" t="s">
        <v>11</v>
      </c>
    </row>
    <row r="16" customFormat="false" ht="15" hidden="false" customHeight="false" outlineLevel="0" collapsed="false">
      <c r="A16" s="2" t="s">
        <v>12</v>
      </c>
    </row>
    <row r="17" customFormat="false" ht="26.8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row>
    <row r="20" customFormat="false" ht="15" hidden="false" customHeight="false" outlineLevel="0" collapsed="false">
      <c r="A20" s="3" t="s">
        <v>15</v>
      </c>
    </row>
    <row r="21" customFormat="false" ht="15" hidden="false" customHeight="false" outlineLevel="0" collapsed="false">
      <c r="A21" s="4"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3" min="2" style="0" width="10"/>
    <col collapsed="false" customWidth="true" hidden="false" outlineLevel="0" max="4" min="4" style="0" width="70"/>
  </cols>
  <sheetData>
    <row r="1" customFormat="false" ht="15" hidden="false" customHeight="false" outlineLevel="0" collapsed="false">
      <c r="A1" s="5" t="s">
        <v>17</v>
      </c>
      <c r="B1" s="5" t="s">
        <v>18</v>
      </c>
      <c r="C1" s="5" t="s">
        <v>19</v>
      </c>
      <c r="D1" s="5" t="s">
        <v>20</v>
      </c>
    </row>
    <row r="2" customFormat="false" ht="15" hidden="false" customHeight="false" outlineLevel="0" collapsed="false">
      <c r="A2" s="6" t="s">
        <v>21</v>
      </c>
      <c r="B2" s="7" t="n">
        <f aca="false">COUNTIF(タスク一覧!$B:$B,A2)</f>
        <v>12</v>
      </c>
      <c r="C2" s="7" t="n">
        <f aca="false">COUNTIF(成果物一覧!$B:$B,A2)</f>
        <v>12</v>
      </c>
      <c r="D2" s="8" t="s">
        <v>22</v>
      </c>
    </row>
    <row r="3" customFormat="false" ht="15" hidden="false" customHeight="false" outlineLevel="0" collapsed="false">
      <c r="A3" s="9" t="s">
        <v>23</v>
      </c>
      <c r="B3" s="7" t="n">
        <f aca="false">COUNTIF(タスク一覧!$B:$B,A3)</f>
        <v>21</v>
      </c>
      <c r="C3" s="7" t="n">
        <f aca="false">COUNTIF(成果物一覧!$B:$B,A3)</f>
        <v>17</v>
      </c>
      <c r="D3" s="10" t="s">
        <v>24</v>
      </c>
    </row>
    <row r="4" customFormat="false" ht="15" hidden="false" customHeight="false" outlineLevel="0" collapsed="false">
      <c r="A4" s="11" t="s">
        <v>25</v>
      </c>
      <c r="B4" s="7" t="n">
        <f aca="false">COUNTIF(タスク一覧!$B:$B,A4)</f>
        <v>12</v>
      </c>
      <c r="C4" s="7" t="n">
        <f aca="false">COUNTIF(成果物一覧!$B:$B,A4)</f>
        <v>10</v>
      </c>
      <c r="D4" s="10" t="s">
        <v>26</v>
      </c>
    </row>
    <row r="5" customFormat="false" ht="15" hidden="false" customHeight="false" outlineLevel="0" collapsed="false">
      <c r="A5" s="12" t="s">
        <v>27</v>
      </c>
      <c r="B5" s="7" t="n">
        <f aca="false">COUNTIF(タスク一覧!$B:$B,A5)</f>
        <v>12</v>
      </c>
      <c r="C5" s="7" t="n">
        <f aca="false">COUNTIF(成果物一覧!$B:$B,A5)</f>
        <v>10</v>
      </c>
      <c r="D5" s="10" t="s">
        <v>28</v>
      </c>
    </row>
    <row r="6" customFormat="false" ht="15" hidden="false" customHeight="false" outlineLevel="0" collapsed="false">
      <c r="A6" s="13" t="s">
        <v>29</v>
      </c>
      <c r="B6" s="7" t="n">
        <f aca="false">COUNTIF(タスク一覧!$B:$B,A6)</f>
        <v>6</v>
      </c>
      <c r="C6" s="7" t="n">
        <f aca="false">COUNTIF(成果物一覧!$B:$B,A6)</f>
        <v>3</v>
      </c>
      <c r="D6" s="10" t="s">
        <v>30</v>
      </c>
    </row>
    <row r="7" customFormat="false" ht="15" hidden="false" customHeight="false" outlineLevel="0" collapsed="false">
      <c r="A7" s="14" t="s">
        <v>31</v>
      </c>
      <c r="B7" s="7" t="n">
        <f aca="false">COUNTIF(タスク一覧!$B:$B,A7)</f>
        <v>8</v>
      </c>
      <c r="C7" s="7" t="n">
        <f aca="false">COUNTIF(成果物一覧!$B:$B,A7)</f>
        <v>6</v>
      </c>
      <c r="D7" s="10" t="s">
        <v>32</v>
      </c>
    </row>
    <row r="8" customFormat="false" ht="15" hidden="false" customHeight="false" outlineLevel="0" collapsed="false">
      <c r="A8" s="9" t="s">
        <v>33</v>
      </c>
      <c r="B8" s="7" t="n">
        <f aca="false">COUNTIF(タスク一覧!$B:$B,A8)</f>
        <v>6</v>
      </c>
      <c r="C8" s="7" t="n">
        <f aca="false">COUNTIF(成果物一覧!$B:$B,A8)</f>
        <v>6</v>
      </c>
      <c r="D8" s="8" t="s">
        <v>34</v>
      </c>
    </row>
    <row r="9" customFormat="false" ht="15" hidden="false" customHeight="false" outlineLevel="0" collapsed="false">
      <c r="A9" s="11" t="s">
        <v>35</v>
      </c>
      <c r="B9" s="7" t="n">
        <f aca="false">COUNTIF(タスク一覧!$B:$B,A9)</f>
        <v>8</v>
      </c>
      <c r="C9" s="7" t="n">
        <f aca="false">COUNTIF(成果物一覧!$B:$B,A9)</f>
        <v>8</v>
      </c>
      <c r="D9" s="10" t="s">
        <v>36</v>
      </c>
    </row>
    <row r="10" customFormat="false" ht="15" hidden="false" customHeight="false" outlineLevel="0" collapsed="false">
      <c r="A10" s="12" t="s">
        <v>37</v>
      </c>
      <c r="B10" s="7" t="n">
        <f aca="false">COUNTIF(タスク一覧!$B:$B,A10)</f>
        <v>9</v>
      </c>
      <c r="C10" s="7" t="n">
        <f aca="false">COUNTIF(成果物一覧!$B:$B,A10)</f>
        <v>8</v>
      </c>
      <c r="D10" s="10" t="s">
        <v>38</v>
      </c>
    </row>
    <row r="11" customFormat="false" ht="15" hidden="false" customHeight="false" outlineLevel="0" collapsed="false">
      <c r="A11" s="15" t="s">
        <v>39</v>
      </c>
      <c r="B11" s="16" t="n">
        <f aca="false">SUM(B2:B10)</f>
        <v>94</v>
      </c>
      <c r="C11" s="16" t="n">
        <f aca="false">SUM(C2:C10)</f>
        <v>80</v>
      </c>
      <c r="D11" s="15"/>
    </row>
    <row r="13" customFormat="false" ht="15" hidden="false" customHeight="false" outlineLevel="0" collapsed="false">
      <c r="A13" s="17"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9"/>
    <col collapsed="false" customWidth="true" hidden="false" outlineLevel="0" max="5" min="4" style="0" width="34"/>
    <col collapsed="false" customWidth="true" hidden="false" outlineLevel="0" max="6" min="6" style="0" width="26"/>
    <col collapsed="false" customWidth="true" hidden="false" outlineLevel="0" max="7" min="7" style="0" width="28"/>
    <col collapsed="false" customWidth="true" hidden="false" outlineLevel="0" max="8" min="8" style="0" width="24"/>
    <col collapsed="false" customWidth="true" hidden="false" outlineLevel="0" max="9" min="9" style="0" width="40"/>
    <col collapsed="false" customWidth="true" hidden="false" outlineLevel="0" max="11" min="10" style="0" width="14"/>
    <col collapsed="false" customWidth="true" hidden="false" outlineLevel="0" max="12" min="12" style="0" width="40"/>
    <col collapsed="false" customWidth="true" hidden="false" outlineLevel="0" max="13" min="13" style="0" width="36"/>
    <col collapsed="false" customWidth="true" hidden="false" outlineLevel="0" max="14" min="14" style="0" width="16"/>
  </cols>
  <sheetData>
    <row r="1" customFormat="false" ht="30" hidden="false" customHeight="true" outlineLevel="0" collapsed="false">
      <c r="A1" s="18" t="s">
        <v>41</v>
      </c>
      <c r="B1" s="5" t="s">
        <v>17</v>
      </c>
      <c r="C1" s="5" t="s">
        <v>42</v>
      </c>
      <c r="D1" s="5" t="s">
        <v>43</v>
      </c>
      <c r="E1" s="5" t="s">
        <v>44</v>
      </c>
      <c r="F1" s="5" t="s">
        <v>45</v>
      </c>
      <c r="G1" s="5" t="s">
        <v>46</v>
      </c>
      <c r="H1" s="5" t="s">
        <v>47</v>
      </c>
      <c r="I1" s="5" t="s">
        <v>48</v>
      </c>
      <c r="J1" s="5" t="s">
        <v>49</v>
      </c>
      <c r="K1" s="5" t="s">
        <v>50</v>
      </c>
      <c r="L1" s="5" t="s">
        <v>51</v>
      </c>
      <c r="M1" s="5" t="s">
        <v>52</v>
      </c>
      <c r="N1" s="5" t="s">
        <v>15</v>
      </c>
    </row>
    <row r="2" customFormat="false" ht="26.85" hidden="false" customHeight="false" outlineLevel="0" collapsed="false">
      <c r="A2" s="8" t="s">
        <v>53</v>
      </c>
      <c r="B2" s="6" t="s">
        <v>21</v>
      </c>
      <c r="C2" s="8" t="s">
        <v>54</v>
      </c>
      <c r="D2" s="10" t="s">
        <v>55</v>
      </c>
      <c r="E2" s="10" t="s">
        <v>56</v>
      </c>
      <c r="F2" s="10" t="s">
        <v>57</v>
      </c>
      <c r="G2" s="10" t="s">
        <v>58</v>
      </c>
      <c r="H2" s="10" t="s">
        <v>59</v>
      </c>
      <c r="I2" s="10" t="s">
        <v>60</v>
      </c>
      <c r="J2" s="8" t="s">
        <v>61</v>
      </c>
      <c r="K2" s="10" t="s">
        <v>62</v>
      </c>
      <c r="L2" s="10" t="s">
        <v>63</v>
      </c>
      <c r="M2" s="10" t="s">
        <v>64</v>
      </c>
      <c r="N2" s="8" t="s">
        <v>65</v>
      </c>
    </row>
    <row r="3" customFormat="false" ht="26.85" hidden="false" customHeight="false" outlineLevel="0" collapsed="false">
      <c r="A3" s="8" t="s">
        <v>66</v>
      </c>
      <c r="B3" s="6" t="s">
        <v>21</v>
      </c>
      <c r="C3" s="8" t="s">
        <v>54</v>
      </c>
      <c r="D3" s="10" t="s">
        <v>67</v>
      </c>
      <c r="E3" s="10" t="s">
        <v>68</v>
      </c>
      <c r="F3" s="10" t="s">
        <v>69</v>
      </c>
      <c r="G3" s="10" t="s">
        <v>70</v>
      </c>
      <c r="H3" s="10" t="s">
        <v>71</v>
      </c>
      <c r="I3" s="10" t="s">
        <v>72</v>
      </c>
      <c r="J3" s="8" t="s">
        <v>61</v>
      </c>
      <c r="K3" s="8" t="s">
        <v>61</v>
      </c>
      <c r="L3" s="10" t="s">
        <v>73</v>
      </c>
      <c r="M3" s="10" t="s">
        <v>74</v>
      </c>
      <c r="N3" s="8" t="s">
        <v>65</v>
      </c>
    </row>
    <row r="4" customFormat="false" ht="26.85" hidden="false" customHeight="false" outlineLevel="0" collapsed="false">
      <c r="A4" s="8" t="s">
        <v>75</v>
      </c>
      <c r="B4" s="6" t="s">
        <v>21</v>
      </c>
      <c r="C4" s="8" t="s">
        <v>54</v>
      </c>
      <c r="D4" s="10" t="s">
        <v>76</v>
      </c>
      <c r="E4" s="10" t="s">
        <v>77</v>
      </c>
      <c r="F4" s="10" t="s">
        <v>78</v>
      </c>
      <c r="G4" s="10" t="s">
        <v>79</v>
      </c>
      <c r="H4" s="10" t="s">
        <v>80</v>
      </c>
      <c r="I4" s="10" t="s">
        <v>81</v>
      </c>
      <c r="J4" s="8" t="s">
        <v>82</v>
      </c>
      <c r="K4" s="8" t="s">
        <v>83</v>
      </c>
      <c r="L4" s="10" t="s">
        <v>84</v>
      </c>
      <c r="M4" s="10" t="s">
        <v>85</v>
      </c>
      <c r="N4" s="8" t="s">
        <v>65</v>
      </c>
    </row>
    <row r="5" customFormat="false" ht="26.85" hidden="false" customHeight="false" outlineLevel="0" collapsed="false">
      <c r="A5" s="8" t="s">
        <v>86</v>
      </c>
      <c r="B5" s="6" t="s">
        <v>21</v>
      </c>
      <c r="C5" s="8" t="s">
        <v>54</v>
      </c>
      <c r="D5" s="10" t="s">
        <v>87</v>
      </c>
      <c r="E5" s="10" t="s">
        <v>88</v>
      </c>
      <c r="F5" s="10" t="s">
        <v>89</v>
      </c>
      <c r="G5" s="10" t="s">
        <v>90</v>
      </c>
      <c r="H5" s="10" t="s">
        <v>89</v>
      </c>
      <c r="I5" s="10" t="s">
        <v>91</v>
      </c>
      <c r="J5" s="8" t="s">
        <v>92</v>
      </c>
      <c r="K5" s="8" t="s">
        <v>83</v>
      </c>
      <c r="L5" s="10" t="s">
        <v>93</v>
      </c>
      <c r="M5" s="10" t="s">
        <v>94</v>
      </c>
      <c r="N5" s="8" t="s">
        <v>65</v>
      </c>
    </row>
    <row r="6" customFormat="false" ht="26.85" hidden="false" customHeight="false" outlineLevel="0" collapsed="false">
      <c r="A6" s="8" t="s">
        <v>95</v>
      </c>
      <c r="B6" s="6" t="s">
        <v>21</v>
      </c>
      <c r="C6" s="8" t="s">
        <v>54</v>
      </c>
      <c r="D6" s="10" t="s">
        <v>96</v>
      </c>
      <c r="E6" s="10" t="s">
        <v>97</v>
      </c>
      <c r="F6" s="10" t="s">
        <v>98</v>
      </c>
      <c r="G6" s="10" t="s">
        <v>99</v>
      </c>
      <c r="H6" s="10" t="s">
        <v>100</v>
      </c>
      <c r="I6" s="10" t="s">
        <v>101</v>
      </c>
      <c r="J6" s="8" t="s">
        <v>92</v>
      </c>
      <c r="K6" s="8" t="s">
        <v>83</v>
      </c>
      <c r="L6" s="10" t="s">
        <v>102</v>
      </c>
      <c r="M6" s="10" t="s">
        <v>103</v>
      </c>
      <c r="N6" s="8" t="s">
        <v>65</v>
      </c>
    </row>
    <row r="7" customFormat="false" ht="26.85" hidden="false" customHeight="false" outlineLevel="0" collapsed="false">
      <c r="A7" s="8" t="s">
        <v>104</v>
      </c>
      <c r="B7" s="6" t="s">
        <v>21</v>
      </c>
      <c r="C7" s="8" t="s">
        <v>54</v>
      </c>
      <c r="D7" s="10" t="s">
        <v>105</v>
      </c>
      <c r="E7" s="10" t="s">
        <v>106</v>
      </c>
      <c r="F7" s="10" t="s">
        <v>107</v>
      </c>
      <c r="G7" s="10" t="s">
        <v>108</v>
      </c>
      <c r="H7" s="10" t="s">
        <v>109</v>
      </c>
      <c r="I7" s="10" t="s">
        <v>110</v>
      </c>
      <c r="J7" s="8" t="s">
        <v>92</v>
      </c>
      <c r="K7" s="10" t="s">
        <v>111</v>
      </c>
      <c r="L7" s="10" t="s">
        <v>112</v>
      </c>
      <c r="M7" s="10" t="s">
        <v>113</v>
      </c>
      <c r="N7" s="8" t="s">
        <v>114</v>
      </c>
    </row>
    <row r="8" customFormat="false" ht="26.85" hidden="false" customHeight="false" outlineLevel="0" collapsed="false">
      <c r="A8" s="8" t="s">
        <v>115</v>
      </c>
      <c r="B8" s="6" t="s">
        <v>21</v>
      </c>
      <c r="C8" s="8" t="s">
        <v>54</v>
      </c>
      <c r="D8" s="10" t="s">
        <v>116</v>
      </c>
      <c r="E8" s="10" t="s">
        <v>117</v>
      </c>
      <c r="F8" s="10" t="s">
        <v>118</v>
      </c>
      <c r="G8" s="10" t="s">
        <v>119</v>
      </c>
      <c r="H8" s="10" t="s">
        <v>120</v>
      </c>
      <c r="I8" s="10" t="s">
        <v>121</v>
      </c>
      <c r="J8" s="8" t="s">
        <v>92</v>
      </c>
      <c r="K8" s="8" t="s">
        <v>83</v>
      </c>
      <c r="L8" s="10" t="s">
        <v>122</v>
      </c>
      <c r="M8" s="10" t="s">
        <v>123</v>
      </c>
      <c r="N8" s="8" t="s">
        <v>65</v>
      </c>
    </row>
    <row r="9" customFormat="false" ht="15" hidden="false" customHeight="false" outlineLevel="0" collapsed="false">
      <c r="A9" s="8" t="s">
        <v>124</v>
      </c>
      <c r="B9" s="6" t="s">
        <v>21</v>
      </c>
      <c r="C9" s="8" t="s">
        <v>54</v>
      </c>
      <c r="D9" s="10" t="s">
        <v>125</v>
      </c>
      <c r="E9" s="10" t="s">
        <v>126</v>
      </c>
      <c r="F9" s="10" t="s">
        <v>127</v>
      </c>
      <c r="G9" s="10" t="s">
        <v>128</v>
      </c>
      <c r="H9" s="8" t="s">
        <v>129</v>
      </c>
      <c r="I9" s="10" t="s">
        <v>130</v>
      </c>
      <c r="J9" s="8" t="s">
        <v>92</v>
      </c>
      <c r="K9" s="8" t="s">
        <v>83</v>
      </c>
      <c r="L9" s="10" t="s">
        <v>131</v>
      </c>
      <c r="M9" s="10" t="s">
        <v>132</v>
      </c>
      <c r="N9" s="8" t="s">
        <v>65</v>
      </c>
    </row>
    <row r="10" customFormat="false" ht="26.85" hidden="false" customHeight="false" outlineLevel="0" collapsed="false">
      <c r="A10" s="8" t="s">
        <v>133</v>
      </c>
      <c r="B10" s="6" t="s">
        <v>21</v>
      </c>
      <c r="C10" s="8" t="s">
        <v>54</v>
      </c>
      <c r="D10" s="10" t="s">
        <v>134</v>
      </c>
      <c r="E10" s="10" t="s">
        <v>135</v>
      </c>
      <c r="F10" s="10" t="s">
        <v>136</v>
      </c>
      <c r="G10" s="10" t="s">
        <v>137</v>
      </c>
      <c r="H10" s="10" t="s">
        <v>138</v>
      </c>
      <c r="I10" s="10" t="s">
        <v>139</v>
      </c>
      <c r="J10" s="8" t="s">
        <v>92</v>
      </c>
      <c r="K10" s="8" t="s">
        <v>83</v>
      </c>
      <c r="L10" s="10" t="s">
        <v>140</v>
      </c>
      <c r="M10" s="10" t="s">
        <v>141</v>
      </c>
      <c r="N10" s="8" t="s">
        <v>65</v>
      </c>
    </row>
    <row r="11" customFormat="false" ht="15" hidden="false" customHeight="false" outlineLevel="0" collapsed="false">
      <c r="A11" s="8" t="s">
        <v>142</v>
      </c>
      <c r="B11" s="6" t="s">
        <v>21</v>
      </c>
      <c r="C11" s="8" t="s">
        <v>54</v>
      </c>
      <c r="D11" s="10" t="s">
        <v>143</v>
      </c>
      <c r="E11" s="10" t="s">
        <v>144</v>
      </c>
      <c r="F11" s="10" t="s">
        <v>145</v>
      </c>
      <c r="G11" s="10" t="s">
        <v>146</v>
      </c>
      <c r="H11" s="10" t="s">
        <v>147</v>
      </c>
      <c r="I11" s="10" t="s">
        <v>148</v>
      </c>
      <c r="J11" s="8" t="s">
        <v>92</v>
      </c>
      <c r="K11" s="8" t="s">
        <v>83</v>
      </c>
      <c r="L11" s="10" t="s">
        <v>149</v>
      </c>
      <c r="M11" s="10" t="s">
        <v>150</v>
      </c>
      <c r="N11" s="8" t="s">
        <v>65</v>
      </c>
    </row>
    <row r="12" customFormat="false" ht="26.85" hidden="false" customHeight="false" outlineLevel="0" collapsed="false">
      <c r="A12" s="8" t="s">
        <v>151</v>
      </c>
      <c r="B12" s="6" t="s">
        <v>21</v>
      </c>
      <c r="C12" s="8" t="s">
        <v>54</v>
      </c>
      <c r="D12" s="10" t="s">
        <v>152</v>
      </c>
      <c r="E12" s="10" t="s">
        <v>153</v>
      </c>
      <c r="F12" s="10" t="s">
        <v>154</v>
      </c>
      <c r="G12" s="10" t="s">
        <v>155</v>
      </c>
      <c r="H12" s="10" t="s">
        <v>156</v>
      </c>
      <c r="I12" s="10" t="s">
        <v>157</v>
      </c>
      <c r="J12" s="8" t="s">
        <v>92</v>
      </c>
      <c r="K12" s="10" t="s">
        <v>111</v>
      </c>
      <c r="L12" s="10" t="s">
        <v>158</v>
      </c>
      <c r="M12" s="10" t="s">
        <v>159</v>
      </c>
      <c r="N12" s="8" t="s">
        <v>114</v>
      </c>
    </row>
    <row r="13" customFormat="false" ht="26.85" hidden="false" customHeight="false" outlineLevel="0" collapsed="false">
      <c r="A13" s="8" t="s">
        <v>160</v>
      </c>
      <c r="B13" s="6" t="s">
        <v>21</v>
      </c>
      <c r="C13" s="8" t="s">
        <v>54</v>
      </c>
      <c r="D13" s="8" t="s">
        <v>161</v>
      </c>
      <c r="E13" s="10" t="s">
        <v>162</v>
      </c>
      <c r="F13" s="10" t="s">
        <v>163</v>
      </c>
      <c r="G13" s="10" t="s">
        <v>164</v>
      </c>
      <c r="H13" s="8" t="s">
        <v>165</v>
      </c>
      <c r="I13" s="10" t="s">
        <v>166</v>
      </c>
      <c r="J13" s="8" t="s">
        <v>61</v>
      </c>
      <c r="K13" s="10" t="s">
        <v>62</v>
      </c>
      <c r="L13" s="10" t="s">
        <v>167</v>
      </c>
      <c r="M13" s="10" t="s">
        <v>168</v>
      </c>
      <c r="N13" s="8" t="s">
        <v>65</v>
      </c>
    </row>
    <row r="14" customFormat="false" ht="26.85" hidden="false" customHeight="false" outlineLevel="0" collapsed="false">
      <c r="A14" s="8" t="s">
        <v>169</v>
      </c>
      <c r="B14" s="9" t="s">
        <v>23</v>
      </c>
      <c r="C14" s="8" t="s">
        <v>170</v>
      </c>
      <c r="D14" s="10" t="s">
        <v>171</v>
      </c>
      <c r="E14" s="10" t="s">
        <v>172</v>
      </c>
      <c r="F14" s="10" t="s">
        <v>173</v>
      </c>
      <c r="G14" s="10" t="s">
        <v>174</v>
      </c>
      <c r="H14" s="10" t="s">
        <v>175</v>
      </c>
      <c r="I14" s="10" t="s">
        <v>176</v>
      </c>
      <c r="J14" s="8" t="s">
        <v>61</v>
      </c>
      <c r="K14" s="8" t="s">
        <v>83</v>
      </c>
      <c r="L14" s="10" t="s">
        <v>177</v>
      </c>
      <c r="M14" s="10" t="s">
        <v>178</v>
      </c>
      <c r="N14" s="8" t="s">
        <v>179</v>
      </c>
    </row>
    <row r="15" customFormat="false" ht="26.85" hidden="false" customHeight="false" outlineLevel="0" collapsed="false">
      <c r="A15" s="8" t="s">
        <v>180</v>
      </c>
      <c r="B15" s="9" t="s">
        <v>23</v>
      </c>
      <c r="C15" s="8" t="s">
        <v>170</v>
      </c>
      <c r="D15" s="10" t="s">
        <v>181</v>
      </c>
      <c r="E15" s="10" t="s">
        <v>182</v>
      </c>
      <c r="F15" s="10" t="s">
        <v>183</v>
      </c>
      <c r="G15" s="10" t="s">
        <v>184</v>
      </c>
      <c r="H15" s="10" t="s">
        <v>185</v>
      </c>
      <c r="I15" s="10" t="s">
        <v>186</v>
      </c>
      <c r="J15" s="8" t="s">
        <v>61</v>
      </c>
      <c r="K15" s="8" t="s">
        <v>83</v>
      </c>
      <c r="L15" s="10" t="s">
        <v>187</v>
      </c>
      <c r="M15" s="10" t="s">
        <v>188</v>
      </c>
      <c r="N15" s="8" t="s">
        <v>179</v>
      </c>
    </row>
    <row r="16" customFormat="false" ht="26.85" hidden="false" customHeight="false" outlineLevel="0" collapsed="false">
      <c r="A16" s="8" t="s">
        <v>189</v>
      </c>
      <c r="B16" s="9" t="s">
        <v>23</v>
      </c>
      <c r="C16" s="8" t="s">
        <v>170</v>
      </c>
      <c r="D16" s="10" t="s">
        <v>190</v>
      </c>
      <c r="E16" s="10" t="s">
        <v>191</v>
      </c>
      <c r="F16" s="10" t="s">
        <v>192</v>
      </c>
      <c r="G16" s="10" t="s">
        <v>193</v>
      </c>
      <c r="H16" s="10" t="s">
        <v>194</v>
      </c>
      <c r="I16" s="10" t="s">
        <v>195</v>
      </c>
      <c r="J16" s="8" t="s">
        <v>61</v>
      </c>
      <c r="K16" s="8" t="s">
        <v>83</v>
      </c>
      <c r="L16" s="10" t="s">
        <v>196</v>
      </c>
      <c r="M16" s="10" t="s">
        <v>197</v>
      </c>
      <c r="N16" s="8" t="s">
        <v>179</v>
      </c>
    </row>
    <row r="17" customFormat="false" ht="26.85" hidden="false" customHeight="false" outlineLevel="0" collapsed="false">
      <c r="A17" s="8" t="s">
        <v>198</v>
      </c>
      <c r="B17" s="9" t="s">
        <v>23</v>
      </c>
      <c r="C17" s="8" t="s">
        <v>170</v>
      </c>
      <c r="D17" s="10" t="s">
        <v>199</v>
      </c>
      <c r="E17" s="10" t="s">
        <v>200</v>
      </c>
      <c r="F17" s="10" t="s">
        <v>201</v>
      </c>
      <c r="G17" s="8" t="s">
        <v>202</v>
      </c>
      <c r="H17" s="8" t="s">
        <v>203</v>
      </c>
      <c r="I17" s="10" t="s">
        <v>204</v>
      </c>
      <c r="J17" s="10" t="s">
        <v>111</v>
      </c>
      <c r="K17" s="10" t="s">
        <v>111</v>
      </c>
      <c r="L17" s="10" t="s">
        <v>205</v>
      </c>
      <c r="M17" s="10" t="s">
        <v>206</v>
      </c>
      <c r="N17" s="8" t="s">
        <v>179</v>
      </c>
    </row>
    <row r="18" customFormat="false" ht="26.85" hidden="false" customHeight="false" outlineLevel="0" collapsed="false">
      <c r="A18" s="8" t="s">
        <v>207</v>
      </c>
      <c r="B18" s="9" t="s">
        <v>23</v>
      </c>
      <c r="C18" s="8" t="s">
        <v>170</v>
      </c>
      <c r="D18" s="10" t="s">
        <v>208</v>
      </c>
      <c r="E18" s="10" t="s">
        <v>209</v>
      </c>
      <c r="F18" s="10" t="s">
        <v>210</v>
      </c>
      <c r="G18" s="8" t="s">
        <v>211</v>
      </c>
      <c r="H18" s="8" t="s">
        <v>203</v>
      </c>
      <c r="I18" s="10" t="s">
        <v>212</v>
      </c>
      <c r="J18" s="8" t="s">
        <v>61</v>
      </c>
      <c r="K18" s="10" t="s">
        <v>111</v>
      </c>
      <c r="L18" s="10" t="s">
        <v>213</v>
      </c>
      <c r="M18" s="10" t="s">
        <v>214</v>
      </c>
      <c r="N18" s="8" t="s">
        <v>179</v>
      </c>
    </row>
    <row r="19" customFormat="false" ht="26.85" hidden="false" customHeight="false" outlineLevel="0" collapsed="false">
      <c r="A19" s="8" t="s">
        <v>215</v>
      </c>
      <c r="B19" s="9" t="s">
        <v>23</v>
      </c>
      <c r="C19" s="8" t="s">
        <v>170</v>
      </c>
      <c r="D19" s="10" t="s">
        <v>216</v>
      </c>
      <c r="E19" s="10" t="s">
        <v>217</v>
      </c>
      <c r="F19" s="10" t="s">
        <v>218</v>
      </c>
      <c r="G19" s="10" t="s">
        <v>219</v>
      </c>
      <c r="H19" s="10" t="s">
        <v>220</v>
      </c>
      <c r="I19" s="10" t="s">
        <v>221</v>
      </c>
      <c r="J19" s="8" t="s">
        <v>61</v>
      </c>
      <c r="K19" s="10" t="s">
        <v>111</v>
      </c>
      <c r="L19" s="10" t="s">
        <v>222</v>
      </c>
      <c r="M19" s="10" t="s">
        <v>223</v>
      </c>
      <c r="N19" s="8" t="s">
        <v>179</v>
      </c>
    </row>
    <row r="20" customFormat="false" ht="26.85" hidden="false" customHeight="false" outlineLevel="0" collapsed="false">
      <c r="A20" s="8" t="s">
        <v>224</v>
      </c>
      <c r="B20" s="9" t="s">
        <v>23</v>
      </c>
      <c r="C20" s="8" t="s">
        <v>170</v>
      </c>
      <c r="D20" s="10" t="s">
        <v>225</v>
      </c>
      <c r="E20" s="10" t="s">
        <v>226</v>
      </c>
      <c r="F20" s="10" t="s">
        <v>227</v>
      </c>
      <c r="G20" s="10" t="s">
        <v>228</v>
      </c>
      <c r="H20" s="8" t="s">
        <v>203</v>
      </c>
      <c r="I20" s="10" t="s">
        <v>229</v>
      </c>
      <c r="J20" s="8" t="s">
        <v>61</v>
      </c>
      <c r="K20" s="10" t="s">
        <v>111</v>
      </c>
      <c r="L20" s="10" t="s">
        <v>230</v>
      </c>
      <c r="M20" s="10" t="s">
        <v>231</v>
      </c>
      <c r="N20" s="8" t="s">
        <v>179</v>
      </c>
    </row>
    <row r="21" customFormat="false" ht="26.85" hidden="false" customHeight="false" outlineLevel="0" collapsed="false">
      <c r="A21" s="8" t="s">
        <v>232</v>
      </c>
      <c r="B21" s="9" t="s">
        <v>23</v>
      </c>
      <c r="C21" s="8" t="s">
        <v>170</v>
      </c>
      <c r="D21" s="10" t="s">
        <v>233</v>
      </c>
      <c r="E21" s="10" t="s">
        <v>234</v>
      </c>
      <c r="F21" s="10" t="s">
        <v>235</v>
      </c>
      <c r="G21" s="10" t="s">
        <v>236</v>
      </c>
      <c r="H21" s="10" t="s">
        <v>237</v>
      </c>
      <c r="I21" s="10" t="s">
        <v>238</v>
      </c>
      <c r="J21" s="8" t="s">
        <v>61</v>
      </c>
      <c r="K21" s="8" t="s">
        <v>83</v>
      </c>
      <c r="L21" s="10" t="s">
        <v>239</v>
      </c>
      <c r="M21" s="10" t="s">
        <v>240</v>
      </c>
      <c r="N21" s="8" t="s">
        <v>179</v>
      </c>
    </row>
    <row r="22" customFormat="false" ht="26.85" hidden="false" customHeight="false" outlineLevel="0" collapsed="false">
      <c r="A22" s="8" t="s">
        <v>241</v>
      </c>
      <c r="B22" s="9" t="s">
        <v>23</v>
      </c>
      <c r="C22" s="8" t="s">
        <v>170</v>
      </c>
      <c r="D22" s="10" t="s">
        <v>242</v>
      </c>
      <c r="E22" s="10" t="s">
        <v>243</v>
      </c>
      <c r="F22" s="10" t="s">
        <v>244</v>
      </c>
      <c r="G22" s="10" t="s">
        <v>245</v>
      </c>
      <c r="H22" s="10" t="s">
        <v>246</v>
      </c>
      <c r="I22" s="10" t="s">
        <v>247</v>
      </c>
      <c r="J22" s="8" t="s">
        <v>61</v>
      </c>
      <c r="K22" s="8" t="s">
        <v>83</v>
      </c>
      <c r="L22" s="10" t="s">
        <v>248</v>
      </c>
      <c r="M22" s="10" t="s">
        <v>249</v>
      </c>
      <c r="N22" s="8" t="s">
        <v>179</v>
      </c>
    </row>
    <row r="23" customFormat="false" ht="26.85" hidden="false" customHeight="false" outlineLevel="0" collapsed="false">
      <c r="A23" s="8" t="s">
        <v>250</v>
      </c>
      <c r="B23" s="9" t="s">
        <v>23</v>
      </c>
      <c r="C23" s="8" t="s">
        <v>170</v>
      </c>
      <c r="D23" s="10" t="s">
        <v>251</v>
      </c>
      <c r="E23" s="10" t="s">
        <v>252</v>
      </c>
      <c r="F23" s="10" t="s">
        <v>253</v>
      </c>
      <c r="G23" s="10" t="s">
        <v>254</v>
      </c>
      <c r="H23" s="10" t="s">
        <v>254</v>
      </c>
      <c r="I23" s="10" t="s">
        <v>255</v>
      </c>
      <c r="J23" s="8" t="s">
        <v>61</v>
      </c>
      <c r="K23" s="8" t="s">
        <v>83</v>
      </c>
      <c r="L23" s="10" t="s">
        <v>256</v>
      </c>
      <c r="M23" s="10" t="s">
        <v>257</v>
      </c>
      <c r="N23" s="8" t="s">
        <v>258</v>
      </c>
    </row>
    <row r="24" customFormat="false" ht="26.85" hidden="false" customHeight="false" outlineLevel="0" collapsed="false">
      <c r="A24" s="8" t="s">
        <v>259</v>
      </c>
      <c r="B24" s="9" t="s">
        <v>23</v>
      </c>
      <c r="C24" s="8" t="s">
        <v>170</v>
      </c>
      <c r="D24" s="10" t="s">
        <v>260</v>
      </c>
      <c r="E24" s="10" t="s">
        <v>261</v>
      </c>
      <c r="F24" s="10" t="s">
        <v>262</v>
      </c>
      <c r="G24" s="10" t="s">
        <v>263</v>
      </c>
      <c r="H24" s="10" t="s">
        <v>264</v>
      </c>
      <c r="I24" s="10" t="s">
        <v>265</v>
      </c>
      <c r="J24" s="8" t="s">
        <v>61</v>
      </c>
      <c r="K24" s="10" t="s">
        <v>111</v>
      </c>
      <c r="L24" s="10" t="s">
        <v>266</v>
      </c>
      <c r="M24" s="10" t="s">
        <v>267</v>
      </c>
      <c r="N24" s="8" t="s">
        <v>179</v>
      </c>
    </row>
    <row r="25" customFormat="false" ht="26.85" hidden="false" customHeight="false" outlineLevel="0" collapsed="false">
      <c r="A25" s="8" t="s">
        <v>268</v>
      </c>
      <c r="B25" s="9" t="s">
        <v>23</v>
      </c>
      <c r="C25" s="8" t="s">
        <v>170</v>
      </c>
      <c r="D25" s="10" t="s">
        <v>269</v>
      </c>
      <c r="E25" s="10" t="s">
        <v>270</v>
      </c>
      <c r="F25" s="10" t="s">
        <v>271</v>
      </c>
      <c r="G25" s="10" t="s">
        <v>272</v>
      </c>
      <c r="H25" s="10" t="s">
        <v>273</v>
      </c>
      <c r="I25" s="10" t="s">
        <v>274</v>
      </c>
      <c r="J25" s="8" t="s">
        <v>61</v>
      </c>
      <c r="K25" s="10" t="s">
        <v>62</v>
      </c>
      <c r="L25" s="10" t="s">
        <v>275</v>
      </c>
      <c r="M25" s="10" t="s">
        <v>276</v>
      </c>
      <c r="N25" s="8" t="s">
        <v>179</v>
      </c>
    </row>
    <row r="26" customFormat="false" ht="15" hidden="false" customHeight="false" outlineLevel="0" collapsed="false">
      <c r="A26" s="8" t="s">
        <v>277</v>
      </c>
      <c r="B26" s="9" t="s">
        <v>23</v>
      </c>
      <c r="C26" s="8" t="s">
        <v>170</v>
      </c>
      <c r="D26" s="10" t="s">
        <v>278</v>
      </c>
      <c r="E26" s="10" t="s">
        <v>279</v>
      </c>
      <c r="F26" s="10" t="s">
        <v>280</v>
      </c>
      <c r="G26" s="10" t="s">
        <v>281</v>
      </c>
      <c r="H26" s="10" t="s">
        <v>282</v>
      </c>
      <c r="I26" s="10" t="s">
        <v>283</v>
      </c>
      <c r="J26" s="8" t="s">
        <v>61</v>
      </c>
      <c r="K26" s="10" t="s">
        <v>111</v>
      </c>
      <c r="L26" s="10" t="s">
        <v>284</v>
      </c>
      <c r="M26" s="10" t="s">
        <v>285</v>
      </c>
      <c r="N26" s="8" t="s">
        <v>179</v>
      </c>
    </row>
    <row r="27" customFormat="false" ht="26.85" hidden="false" customHeight="false" outlineLevel="0" collapsed="false">
      <c r="A27" s="8" t="s">
        <v>286</v>
      </c>
      <c r="B27" s="9" t="s">
        <v>23</v>
      </c>
      <c r="C27" s="8" t="s">
        <v>170</v>
      </c>
      <c r="D27" s="8" t="s">
        <v>287</v>
      </c>
      <c r="E27" s="10" t="s">
        <v>288</v>
      </c>
      <c r="F27" s="10" t="s">
        <v>289</v>
      </c>
      <c r="G27" s="8" t="s">
        <v>290</v>
      </c>
      <c r="H27" s="8" t="s">
        <v>291</v>
      </c>
      <c r="I27" s="10" t="s">
        <v>292</v>
      </c>
      <c r="J27" s="8" t="s">
        <v>61</v>
      </c>
      <c r="K27" s="10" t="s">
        <v>111</v>
      </c>
      <c r="L27" s="10" t="s">
        <v>293</v>
      </c>
      <c r="M27" s="10" t="s">
        <v>294</v>
      </c>
      <c r="N27" s="8" t="s">
        <v>179</v>
      </c>
    </row>
    <row r="28" customFormat="false" ht="26.85" hidden="false" customHeight="false" outlineLevel="0" collapsed="false">
      <c r="A28" s="8" t="s">
        <v>295</v>
      </c>
      <c r="B28" s="9" t="s">
        <v>23</v>
      </c>
      <c r="C28" s="8" t="s">
        <v>170</v>
      </c>
      <c r="D28" s="10" t="s">
        <v>296</v>
      </c>
      <c r="E28" s="10" t="s">
        <v>297</v>
      </c>
      <c r="F28" s="10" t="s">
        <v>298</v>
      </c>
      <c r="G28" s="8" t="s">
        <v>299</v>
      </c>
      <c r="H28" s="10" t="s">
        <v>300</v>
      </c>
      <c r="I28" s="10" t="s">
        <v>301</v>
      </c>
      <c r="J28" s="8" t="s">
        <v>61</v>
      </c>
      <c r="K28" s="10" t="s">
        <v>62</v>
      </c>
      <c r="L28" s="10" t="s">
        <v>302</v>
      </c>
      <c r="M28" s="10" t="s">
        <v>303</v>
      </c>
      <c r="N28" s="8" t="s">
        <v>179</v>
      </c>
    </row>
    <row r="29" customFormat="false" ht="26.85" hidden="false" customHeight="false" outlineLevel="0" collapsed="false">
      <c r="A29" s="8" t="s">
        <v>304</v>
      </c>
      <c r="B29" s="9" t="s">
        <v>23</v>
      </c>
      <c r="C29" s="8" t="s">
        <v>170</v>
      </c>
      <c r="D29" s="10" t="s">
        <v>305</v>
      </c>
      <c r="E29" s="10" t="s">
        <v>306</v>
      </c>
      <c r="F29" s="10" t="s">
        <v>307</v>
      </c>
      <c r="G29" s="10" t="s">
        <v>308</v>
      </c>
      <c r="H29" s="10" t="s">
        <v>309</v>
      </c>
      <c r="I29" s="10" t="s">
        <v>310</v>
      </c>
      <c r="J29" s="8" t="s">
        <v>61</v>
      </c>
      <c r="K29" s="10" t="s">
        <v>62</v>
      </c>
      <c r="L29" s="10" t="s">
        <v>311</v>
      </c>
      <c r="M29" s="10" t="s">
        <v>312</v>
      </c>
      <c r="N29" s="8" t="s">
        <v>179</v>
      </c>
    </row>
    <row r="30" customFormat="false" ht="15" hidden="false" customHeight="false" outlineLevel="0" collapsed="false">
      <c r="A30" s="8" t="s">
        <v>313</v>
      </c>
      <c r="B30" s="9" t="s">
        <v>23</v>
      </c>
      <c r="C30" s="8" t="s">
        <v>170</v>
      </c>
      <c r="D30" s="10" t="s">
        <v>314</v>
      </c>
      <c r="E30" s="10" t="s">
        <v>315</v>
      </c>
      <c r="F30" s="10" t="s">
        <v>316</v>
      </c>
      <c r="G30" s="10" t="s">
        <v>317</v>
      </c>
      <c r="H30" s="10" t="s">
        <v>318</v>
      </c>
      <c r="I30" s="10" t="s">
        <v>319</v>
      </c>
      <c r="J30" s="8" t="s">
        <v>61</v>
      </c>
      <c r="K30" s="10" t="s">
        <v>62</v>
      </c>
      <c r="L30" s="10" t="s">
        <v>320</v>
      </c>
      <c r="M30" s="10" t="s">
        <v>321</v>
      </c>
      <c r="N30" s="8" t="s">
        <v>179</v>
      </c>
    </row>
    <row r="31" customFormat="false" ht="26.85" hidden="false" customHeight="false" outlineLevel="0" collapsed="false">
      <c r="A31" s="8" t="s">
        <v>322</v>
      </c>
      <c r="B31" s="9" t="s">
        <v>23</v>
      </c>
      <c r="C31" s="8" t="s">
        <v>170</v>
      </c>
      <c r="D31" s="10" t="s">
        <v>323</v>
      </c>
      <c r="E31" s="10" t="s">
        <v>324</v>
      </c>
      <c r="F31" s="10" t="s">
        <v>325</v>
      </c>
      <c r="G31" s="10" t="s">
        <v>326</v>
      </c>
      <c r="H31" s="10" t="s">
        <v>327</v>
      </c>
      <c r="I31" s="10" t="s">
        <v>328</v>
      </c>
      <c r="J31" s="8" t="s">
        <v>61</v>
      </c>
      <c r="K31" s="8" t="s">
        <v>83</v>
      </c>
      <c r="L31" s="10" t="s">
        <v>329</v>
      </c>
      <c r="M31" s="10" t="s">
        <v>330</v>
      </c>
      <c r="N31" s="8" t="s">
        <v>179</v>
      </c>
    </row>
    <row r="32" customFormat="false" ht="38.05" hidden="false" customHeight="false" outlineLevel="0" collapsed="false">
      <c r="A32" s="8" t="s">
        <v>331</v>
      </c>
      <c r="B32" s="9" t="s">
        <v>23</v>
      </c>
      <c r="C32" s="8" t="s">
        <v>170</v>
      </c>
      <c r="D32" s="10" t="s">
        <v>332</v>
      </c>
      <c r="E32" s="10" t="s">
        <v>333</v>
      </c>
      <c r="F32" s="10" t="s">
        <v>334</v>
      </c>
      <c r="G32" s="10" t="s">
        <v>335</v>
      </c>
      <c r="H32" s="10" t="s">
        <v>318</v>
      </c>
      <c r="I32" s="10" t="s">
        <v>336</v>
      </c>
      <c r="J32" s="8" t="s">
        <v>61</v>
      </c>
      <c r="K32" s="10" t="s">
        <v>62</v>
      </c>
      <c r="L32" s="10" t="s">
        <v>337</v>
      </c>
      <c r="M32" s="10" t="s">
        <v>338</v>
      </c>
      <c r="N32" s="8" t="s">
        <v>179</v>
      </c>
    </row>
    <row r="33" customFormat="false" ht="15" hidden="false" customHeight="false" outlineLevel="0" collapsed="false">
      <c r="A33" s="8" t="s">
        <v>339</v>
      </c>
      <c r="B33" s="9" t="s">
        <v>23</v>
      </c>
      <c r="C33" s="8" t="s">
        <v>170</v>
      </c>
      <c r="D33" s="10" t="s">
        <v>340</v>
      </c>
      <c r="E33" s="10" t="s">
        <v>341</v>
      </c>
      <c r="F33" s="10" t="s">
        <v>342</v>
      </c>
      <c r="G33" s="10" t="s">
        <v>343</v>
      </c>
      <c r="H33" s="10" t="s">
        <v>318</v>
      </c>
      <c r="I33" s="10" t="s">
        <v>344</v>
      </c>
      <c r="J33" s="8" t="s">
        <v>61</v>
      </c>
      <c r="K33" s="10" t="s">
        <v>62</v>
      </c>
      <c r="L33" s="10" t="s">
        <v>345</v>
      </c>
      <c r="M33" s="10" t="s">
        <v>346</v>
      </c>
      <c r="N33" s="8" t="s">
        <v>179</v>
      </c>
    </row>
    <row r="34" customFormat="false" ht="15" hidden="false" customHeight="false" outlineLevel="0" collapsed="false">
      <c r="A34" s="8" t="s">
        <v>347</v>
      </c>
      <c r="B34" s="9" t="s">
        <v>23</v>
      </c>
      <c r="C34" s="8" t="s">
        <v>170</v>
      </c>
      <c r="D34" s="10" t="s">
        <v>348</v>
      </c>
      <c r="E34" s="10" t="s">
        <v>349</v>
      </c>
      <c r="F34" s="10" t="s">
        <v>350</v>
      </c>
      <c r="G34" s="10" t="s">
        <v>351</v>
      </c>
      <c r="H34" s="10" t="s">
        <v>352</v>
      </c>
      <c r="I34" s="10" t="s">
        <v>353</v>
      </c>
      <c r="J34" s="8" t="s">
        <v>61</v>
      </c>
      <c r="K34" s="10" t="s">
        <v>62</v>
      </c>
      <c r="L34" s="10" t="s">
        <v>354</v>
      </c>
      <c r="M34" s="10" t="s">
        <v>355</v>
      </c>
      <c r="N34" s="8" t="s">
        <v>179</v>
      </c>
    </row>
    <row r="35" customFormat="false" ht="26.85" hidden="false" customHeight="false" outlineLevel="0" collapsed="false">
      <c r="A35" s="8" t="s">
        <v>356</v>
      </c>
      <c r="B35" s="11" t="s">
        <v>25</v>
      </c>
      <c r="C35" s="8" t="s">
        <v>357</v>
      </c>
      <c r="D35" s="10" t="s">
        <v>358</v>
      </c>
      <c r="E35" s="10" t="s">
        <v>359</v>
      </c>
      <c r="F35" s="10" t="s">
        <v>360</v>
      </c>
      <c r="G35" s="10" t="s">
        <v>361</v>
      </c>
      <c r="H35" s="10" t="s">
        <v>362</v>
      </c>
      <c r="I35" s="10" t="s">
        <v>363</v>
      </c>
      <c r="J35" s="8" t="s">
        <v>61</v>
      </c>
      <c r="K35" s="8" t="s">
        <v>83</v>
      </c>
      <c r="L35" s="10" t="s">
        <v>364</v>
      </c>
      <c r="M35" s="10" t="s">
        <v>365</v>
      </c>
      <c r="N35" s="8" t="s">
        <v>366</v>
      </c>
    </row>
    <row r="36" customFormat="false" ht="26.85" hidden="false" customHeight="false" outlineLevel="0" collapsed="false">
      <c r="A36" s="8" t="s">
        <v>367</v>
      </c>
      <c r="B36" s="11" t="s">
        <v>25</v>
      </c>
      <c r="C36" s="8" t="s">
        <v>357</v>
      </c>
      <c r="D36" s="10" t="s">
        <v>368</v>
      </c>
      <c r="E36" s="10" t="s">
        <v>369</v>
      </c>
      <c r="F36" s="10" t="s">
        <v>370</v>
      </c>
      <c r="G36" s="10" t="s">
        <v>371</v>
      </c>
      <c r="H36" s="10" t="s">
        <v>372</v>
      </c>
      <c r="I36" s="10" t="s">
        <v>373</v>
      </c>
      <c r="J36" s="8" t="s">
        <v>61</v>
      </c>
      <c r="K36" s="10" t="s">
        <v>111</v>
      </c>
      <c r="L36" s="10" t="s">
        <v>374</v>
      </c>
      <c r="M36" s="10" t="s">
        <v>375</v>
      </c>
      <c r="N36" s="8" t="s">
        <v>366</v>
      </c>
    </row>
    <row r="37" customFormat="false" ht="15" hidden="false" customHeight="false" outlineLevel="0" collapsed="false">
      <c r="A37" s="8" t="s">
        <v>376</v>
      </c>
      <c r="B37" s="11" t="s">
        <v>25</v>
      </c>
      <c r="C37" s="8" t="s">
        <v>357</v>
      </c>
      <c r="D37" s="10" t="s">
        <v>377</v>
      </c>
      <c r="E37" s="10" t="s">
        <v>378</v>
      </c>
      <c r="F37" s="10" t="s">
        <v>379</v>
      </c>
      <c r="G37" s="10" t="s">
        <v>380</v>
      </c>
      <c r="H37" s="10" t="s">
        <v>372</v>
      </c>
      <c r="I37" s="10" t="s">
        <v>381</v>
      </c>
      <c r="J37" s="8" t="s">
        <v>61</v>
      </c>
      <c r="K37" s="10" t="s">
        <v>111</v>
      </c>
      <c r="L37" s="10" t="s">
        <v>382</v>
      </c>
      <c r="M37" s="10" t="s">
        <v>383</v>
      </c>
      <c r="N37" s="8" t="s">
        <v>366</v>
      </c>
    </row>
    <row r="38" customFormat="false" ht="26.85" hidden="false" customHeight="false" outlineLevel="0" collapsed="false">
      <c r="A38" s="8" t="s">
        <v>384</v>
      </c>
      <c r="B38" s="11" t="s">
        <v>25</v>
      </c>
      <c r="C38" s="8" t="s">
        <v>357</v>
      </c>
      <c r="D38" s="10" t="s">
        <v>385</v>
      </c>
      <c r="E38" s="8" t="s">
        <v>386</v>
      </c>
      <c r="F38" s="10" t="s">
        <v>387</v>
      </c>
      <c r="G38" s="10" t="s">
        <v>388</v>
      </c>
      <c r="H38" s="10" t="s">
        <v>389</v>
      </c>
      <c r="I38" s="10" t="s">
        <v>390</v>
      </c>
      <c r="J38" s="8" t="s">
        <v>92</v>
      </c>
      <c r="K38" s="10" t="s">
        <v>111</v>
      </c>
      <c r="L38" s="10" t="s">
        <v>391</v>
      </c>
      <c r="M38" s="10" t="s">
        <v>392</v>
      </c>
      <c r="N38" s="8" t="s">
        <v>366</v>
      </c>
    </row>
    <row r="39" customFormat="false" ht="26.85" hidden="false" customHeight="false" outlineLevel="0" collapsed="false">
      <c r="A39" s="8" t="s">
        <v>393</v>
      </c>
      <c r="B39" s="11" t="s">
        <v>25</v>
      </c>
      <c r="C39" s="8" t="s">
        <v>357</v>
      </c>
      <c r="D39" s="10" t="s">
        <v>394</v>
      </c>
      <c r="E39" s="10" t="s">
        <v>395</v>
      </c>
      <c r="F39" s="10" t="s">
        <v>396</v>
      </c>
      <c r="G39" s="10" t="s">
        <v>397</v>
      </c>
      <c r="H39" s="10" t="s">
        <v>398</v>
      </c>
      <c r="I39" s="10" t="s">
        <v>399</v>
      </c>
      <c r="J39" s="8" t="s">
        <v>92</v>
      </c>
      <c r="K39" s="8" t="s">
        <v>83</v>
      </c>
      <c r="L39" s="10" t="s">
        <v>400</v>
      </c>
      <c r="M39" s="10" t="s">
        <v>401</v>
      </c>
      <c r="N39" s="8" t="s">
        <v>366</v>
      </c>
    </row>
    <row r="40" customFormat="false" ht="26.85" hidden="false" customHeight="false" outlineLevel="0" collapsed="false">
      <c r="A40" s="8" t="s">
        <v>402</v>
      </c>
      <c r="B40" s="11" t="s">
        <v>25</v>
      </c>
      <c r="C40" s="8" t="s">
        <v>357</v>
      </c>
      <c r="D40" s="10" t="s">
        <v>403</v>
      </c>
      <c r="E40" s="10" t="s">
        <v>404</v>
      </c>
      <c r="F40" s="10" t="s">
        <v>405</v>
      </c>
      <c r="G40" s="10" t="s">
        <v>406</v>
      </c>
      <c r="H40" s="10" t="s">
        <v>407</v>
      </c>
      <c r="I40" s="10" t="s">
        <v>408</v>
      </c>
      <c r="J40" s="8" t="s">
        <v>92</v>
      </c>
      <c r="K40" s="10" t="s">
        <v>111</v>
      </c>
      <c r="L40" s="10" t="s">
        <v>409</v>
      </c>
      <c r="M40" s="10" t="s">
        <v>410</v>
      </c>
      <c r="N40" s="8" t="s">
        <v>366</v>
      </c>
    </row>
    <row r="41" customFormat="false" ht="26.85" hidden="false" customHeight="false" outlineLevel="0" collapsed="false">
      <c r="A41" s="8" t="s">
        <v>411</v>
      </c>
      <c r="B41" s="11" t="s">
        <v>25</v>
      </c>
      <c r="C41" s="8" t="s">
        <v>357</v>
      </c>
      <c r="D41" s="8" t="s">
        <v>412</v>
      </c>
      <c r="E41" s="10" t="s">
        <v>413</v>
      </c>
      <c r="F41" s="10" t="s">
        <v>414</v>
      </c>
      <c r="G41" s="8" t="s">
        <v>415</v>
      </c>
      <c r="H41" s="8" t="s">
        <v>416</v>
      </c>
      <c r="I41" s="10" t="s">
        <v>417</v>
      </c>
      <c r="J41" s="8" t="s">
        <v>92</v>
      </c>
      <c r="K41" s="10" t="s">
        <v>418</v>
      </c>
      <c r="L41" s="10" t="s">
        <v>419</v>
      </c>
      <c r="M41" s="10" t="s">
        <v>420</v>
      </c>
      <c r="N41" s="8" t="s">
        <v>366</v>
      </c>
    </row>
    <row r="42" customFormat="false" ht="26.85" hidden="false" customHeight="false" outlineLevel="0" collapsed="false">
      <c r="A42" s="8" t="s">
        <v>421</v>
      </c>
      <c r="B42" s="11" t="s">
        <v>25</v>
      </c>
      <c r="C42" s="8" t="s">
        <v>357</v>
      </c>
      <c r="D42" s="10" t="s">
        <v>422</v>
      </c>
      <c r="E42" s="10" t="s">
        <v>423</v>
      </c>
      <c r="F42" s="10" t="s">
        <v>424</v>
      </c>
      <c r="G42" s="10" t="s">
        <v>425</v>
      </c>
      <c r="H42" s="10" t="s">
        <v>426</v>
      </c>
      <c r="I42" s="10" t="s">
        <v>427</v>
      </c>
      <c r="J42" s="8" t="s">
        <v>92</v>
      </c>
      <c r="K42" s="10" t="s">
        <v>111</v>
      </c>
      <c r="L42" s="10" t="s">
        <v>428</v>
      </c>
      <c r="M42" s="10" t="s">
        <v>429</v>
      </c>
      <c r="N42" s="8" t="s">
        <v>366</v>
      </c>
    </row>
    <row r="43" customFormat="false" ht="15" hidden="false" customHeight="false" outlineLevel="0" collapsed="false">
      <c r="A43" s="8" t="s">
        <v>430</v>
      </c>
      <c r="B43" s="11" t="s">
        <v>25</v>
      </c>
      <c r="C43" s="8" t="s">
        <v>357</v>
      </c>
      <c r="D43" s="10" t="s">
        <v>431</v>
      </c>
      <c r="E43" s="10" t="s">
        <v>432</v>
      </c>
      <c r="F43" s="10" t="s">
        <v>433</v>
      </c>
      <c r="G43" s="10" t="s">
        <v>434</v>
      </c>
      <c r="H43" s="10" t="s">
        <v>435</v>
      </c>
      <c r="I43" s="10" t="s">
        <v>436</v>
      </c>
      <c r="J43" s="8" t="s">
        <v>92</v>
      </c>
      <c r="K43" s="10" t="s">
        <v>111</v>
      </c>
      <c r="L43" s="10" t="s">
        <v>437</v>
      </c>
      <c r="M43" s="10" t="s">
        <v>438</v>
      </c>
      <c r="N43" s="8" t="s">
        <v>366</v>
      </c>
    </row>
    <row r="44" customFormat="false" ht="15" hidden="false" customHeight="false" outlineLevel="0" collapsed="false">
      <c r="A44" s="8" t="s">
        <v>439</v>
      </c>
      <c r="B44" s="11" t="s">
        <v>25</v>
      </c>
      <c r="C44" s="8" t="s">
        <v>357</v>
      </c>
      <c r="D44" s="10" t="s">
        <v>440</v>
      </c>
      <c r="E44" s="10" t="s">
        <v>441</v>
      </c>
      <c r="F44" s="10" t="s">
        <v>442</v>
      </c>
      <c r="G44" s="10" t="s">
        <v>443</v>
      </c>
      <c r="H44" s="10" t="s">
        <v>443</v>
      </c>
      <c r="I44" s="10" t="s">
        <v>444</v>
      </c>
      <c r="J44" s="8" t="s">
        <v>61</v>
      </c>
      <c r="K44" s="10" t="s">
        <v>111</v>
      </c>
      <c r="L44" s="10" t="s">
        <v>445</v>
      </c>
      <c r="M44" s="10" t="s">
        <v>446</v>
      </c>
      <c r="N44" s="8" t="s">
        <v>366</v>
      </c>
    </row>
    <row r="45" customFormat="false" ht="15" hidden="false" customHeight="false" outlineLevel="0" collapsed="false">
      <c r="A45" s="8" t="s">
        <v>447</v>
      </c>
      <c r="B45" s="11" t="s">
        <v>25</v>
      </c>
      <c r="C45" s="8" t="s">
        <v>357</v>
      </c>
      <c r="D45" s="8" t="s">
        <v>448</v>
      </c>
      <c r="E45" s="10" t="s">
        <v>449</v>
      </c>
      <c r="F45" s="10" t="s">
        <v>450</v>
      </c>
      <c r="G45" s="8" t="s">
        <v>451</v>
      </c>
      <c r="H45" s="10" t="s">
        <v>452</v>
      </c>
      <c r="I45" s="10" t="s">
        <v>453</v>
      </c>
      <c r="J45" s="8" t="s">
        <v>61</v>
      </c>
      <c r="K45" s="10" t="s">
        <v>111</v>
      </c>
      <c r="L45" s="8" t="s">
        <v>454</v>
      </c>
      <c r="M45" s="8" t="s">
        <v>455</v>
      </c>
      <c r="N45" s="8" t="s">
        <v>366</v>
      </c>
    </row>
    <row r="46" customFormat="false" ht="39.55" hidden="false" customHeight="false" outlineLevel="0" collapsed="false">
      <c r="A46" s="8" t="s">
        <v>456</v>
      </c>
      <c r="B46" s="11" t="s">
        <v>25</v>
      </c>
      <c r="C46" s="8" t="s">
        <v>357</v>
      </c>
      <c r="D46" s="10" t="s">
        <v>457</v>
      </c>
      <c r="E46" s="10" t="s">
        <v>458</v>
      </c>
      <c r="F46" s="10" t="s">
        <v>459</v>
      </c>
      <c r="G46" s="10" t="s">
        <v>460</v>
      </c>
      <c r="H46" s="10" t="s">
        <v>435</v>
      </c>
      <c r="I46" s="10" t="s">
        <v>461</v>
      </c>
      <c r="J46" s="8" t="s">
        <v>61</v>
      </c>
      <c r="K46" s="10" t="s">
        <v>62</v>
      </c>
      <c r="L46" s="10" t="s">
        <v>462</v>
      </c>
      <c r="M46" s="10" t="s">
        <v>463</v>
      </c>
      <c r="N46" s="8" t="s">
        <v>366</v>
      </c>
    </row>
    <row r="47" customFormat="false" ht="15" hidden="false" customHeight="false" outlineLevel="0" collapsed="false">
      <c r="A47" s="8" t="s">
        <v>464</v>
      </c>
      <c r="B47" s="12" t="s">
        <v>27</v>
      </c>
      <c r="C47" s="8" t="s">
        <v>465</v>
      </c>
      <c r="D47" s="10" t="s">
        <v>466</v>
      </c>
      <c r="E47" s="10" t="s">
        <v>467</v>
      </c>
      <c r="F47" s="10" t="s">
        <v>468</v>
      </c>
      <c r="G47" s="10" t="s">
        <v>469</v>
      </c>
      <c r="H47" s="10" t="s">
        <v>470</v>
      </c>
      <c r="I47" s="10" t="s">
        <v>471</v>
      </c>
      <c r="J47" s="8" t="s">
        <v>61</v>
      </c>
      <c r="K47" s="10" t="s">
        <v>62</v>
      </c>
      <c r="L47" s="10" t="s">
        <v>472</v>
      </c>
      <c r="M47" s="10" t="s">
        <v>473</v>
      </c>
      <c r="N47" s="8" t="s">
        <v>474</v>
      </c>
    </row>
    <row r="48" customFormat="false" ht="15" hidden="false" customHeight="false" outlineLevel="0" collapsed="false">
      <c r="A48" s="8" t="s">
        <v>475</v>
      </c>
      <c r="B48" s="12" t="s">
        <v>27</v>
      </c>
      <c r="C48" s="8" t="s">
        <v>465</v>
      </c>
      <c r="D48" s="8" t="s">
        <v>476</v>
      </c>
      <c r="E48" s="10" t="s">
        <v>477</v>
      </c>
      <c r="F48" s="10" t="s">
        <v>478</v>
      </c>
      <c r="G48" s="8" t="s">
        <v>479</v>
      </c>
      <c r="H48" s="8" t="s">
        <v>480</v>
      </c>
      <c r="I48" s="10" t="s">
        <v>481</v>
      </c>
      <c r="J48" s="8" t="s">
        <v>92</v>
      </c>
      <c r="K48" s="8" t="s">
        <v>83</v>
      </c>
      <c r="L48" s="10" t="s">
        <v>482</v>
      </c>
      <c r="M48" s="10" t="s">
        <v>483</v>
      </c>
      <c r="N48" s="8" t="s">
        <v>474</v>
      </c>
    </row>
    <row r="49" customFormat="false" ht="26.85" hidden="false" customHeight="false" outlineLevel="0" collapsed="false">
      <c r="A49" s="8" t="s">
        <v>484</v>
      </c>
      <c r="B49" s="12" t="s">
        <v>27</v>
      </c>
      <c r="C49" s="8" t="s">
        <v>465</v>
      </c>
      <c r="D49" s="8" t="s">
        <v>485</v>
      </c>
      <c r="E49" s="10" t="s">
        <v>486</v>
      </c>
      <c r="F49" s="10" t="s">
        <v>487</v>
      </c>
      <c r="G49" s="8" t="s">
        <v>488</v>
      </c>
      <c r="H49" s="8" t="s">
        <v>489</v>
      </c>
      <c r="I49" s="10" t="s">
        <v>490</v>
      </c>
      <c r="J49" s="8" t="s">
        <v>61</v>
      </c>
      <c r="K49" s="10" t="s">
        <v>491</v>
      </c>
      <c r="L49" s="10" t="s">
        <v>492</v>
      </c>
      <c r="M49" s="10" t="s">
        <v>493</v>
      </c>
      <c r="N49" s="8" t="s">
        <v>474</v>
      </c>
    </row>
    <row r="50" customFormat="false" ht="26.85" hidden="false" customHeight="false" outlineLevel="0" collapsed="false">
      <c r="A50" s="8" t="s">
        <v>494</v>
      </c>
      <c r="B50" s="12" t="s">
        <v>27</v>
      </c>
      <c r="C50" s="8" t="s">
        <v>465</v>
      </c>
      <c r="D50" s="8" t="s">
        <v>495</v>
      </c>
      <c r="E50" s="8" t="s">
        <v>496</v>
      </c>
      <c r="F50" s="10" t="s">
        <v>497</v>
      </c>
      <c r="G50" s="8" t="s">
        <v>498</v>
      </c>
      <c r="H50" s="8" t="s">
        <v>499</v>
      </c>
      <c r="I50" s="10" t="s">
        <v>500</v>
      </c>
      <c r="J50" s="8" t="s">
        <v>92</v>
      </c>
      <c r="K50" s="8" t="s">
        <v>61</v>
      </c>
      <c r="L50" s="10" t="s">
        <v>501</v>
      </c>
      <c r="M50" s="8" t="s">
        <v>502</v>
      </c>
      <c r="N50" s="8" t="s">
        <v>474</v>
      </c>
    </row>
    <row r="51" customFormat="false" ht="15" hidden="false" customHeight="false" outlineLevel="0" collapsed="false">
      <c r="A51" s="8" t="s">
        <v>503</v>
      </c>
      <c r="B51" s="12" t="s">
        <v>27</v>
      </c>
      <c r="C51" s="8" t="s">
        <v>465</v>
      </c>
      <c r="D51" s="10" t="s">
        <v>504</v>
      </c>
      <c r="E51" s="10" t="s">
        <v>505</v>
      </c>
      <c r="F51" s="10" t="s">
        <v>506</v>
      </c>
      <c r="G51" s="10" t="s">
        <v>507</v>
      </c>
      <c r="H51" s="10" t="s">
        <v>508</v>
      </c>
      <c r="I51" s="10" t="s">
        <v>509</v>
      </c>
      <c r="J51" s="8" t="s">
        <v>510</v>
      </c>
      <c r="K51" s="8" t="s">
        <v>83</v>
      </c>
      <c r="L51" s="10" t="s">
        <v>511</v>
      </c>
      <c r="M51" s="10" t="s">
        <v>512</v>
      </c>
      <c r="N51" s="8" t="s">
        <v>474</v>
      </c>
    </row>
    <row r="52" customFormat="false" ht="15" hidden="false" customHeight="false" outlineLevel="0" collapsed="false">
      <c r="A52" s="8" t="s">
        <v>513</v>
      </c>
      <c r="B52" s="12" t="s">
        <v>27</v>
      </c>
      <c r="C52" s="8" t="s">
        <v>465</v>
      </c>
      <c r="D52" s="10" t="s">
        <v>514</v>
      </c>
      <c r="E52" s="10" t="s">
        <v>515</v>
      </c>
      <c r="F52" s="10" t="s">
        <v>516</v>
      </c>
      <c r="G52" s="10" t="s">
        <v>517</v>
      </c>
      <c r="H52" s="10" t="s">
        <v>518</v>
      </c>
      <c r="I52" s="10" t="s">
        <v>519</v>
      </c>
      <c r="J52" s="8" t="s">
        <v>61</v>
      </c>
      <c r="K52" s="10" t="s">
        <v>491</v>
      </c>
      <c r="L52" s="10" t="s">
        <v>520</v>
      </c>
      <c r="M52" s="10" t="s">
        <v>521</v>
      </c>
      <c r="N52" s="8" t="s">
        <v>474</v>
      </c>
    </row>
    <row r="53" customFormat="false" ht="26.85" hidden="false" customHeight="false" outlineLevel="0" collapsed="false">
      <c r="A53" s="8" t="s">
        <v>522</v>
      </c>
      <c r="B53" s="12" t="s">
        <v>27</v>
      </c>
      <c r="C53" s="8" t="s">
        <v>465</v>
      </c>
      <c r="D53" s="10" t="s">
        <v>523</v>
      </c>
      <c r="E53" s="10" t="s">
        <v>524</v>
      </c>
      <c r="F53" s="10" t="s">
        <v>525</v>
      </c>
      <c r="G53" s="10" t="s">
        <v>526</v>
      </c>
      <c r="H53" s="10" t="s">
        <v>527</v>
      </c>
      <c r="I53" s="10" t="s">
        <v>528</v>
      </c>
      <c r="J53" s="8" t="s">
        <v>92</v>
      </c>
      <c r="K53" s="8" t="s">
        <v>83</v>
      </c>
      <c r="L53" s="10" t="s">
        <v>529</v>
      </c>
      <c r="M53" s="10" t="s">
        <v>530</v>
      </c>
      <c r="N53" s="8" t="s">
        <v>531</v>
      </c>
    </row>
    <row r="54" customFormat="false" ht="26.85" hidden="false" customHeight="false" outlineLevel="0" collapsed="false">
      <c r="A54" s="8" t="s">
        <v>532</v>
      </c>
      <c r="B54" s="12" t="s">
        <v>27</v>
      </c>
      <c r="C54" s="8" t="s">
        <v>465</v>
      </c>
      <c r="D54" s="10" t="s">
        <v>533</v>
      </c>
      <c r="E54" s="10" t="s">
        <v>534</v>
      </c>
      <c r="F54" s="10" t="s">
        <v>535</v>
      </c>
      <c r="G54" s="10" t="s">
        <v>536</v>
      </c>
      <c r="H54" s="10" t="s">
        <v>527</v>
      </c>
      <c r="I54" s="10" t="s">
        <v>537</v>
      </c>
      <c r="J54" s="8" t="s">
        <v>61</v>
      </c>
      <c r="K54" s="8" t="s">
        <v>83</v>
      </c>
      <c r="L54" s="10" t="s">
        <v>538</v>
      </c>
      <c r="M54" s="10" t="s">
        <v>539</v>
      </c>
      <c r="N54" s="8" t="s">
        <v>531</v>
      </c>
    </row>
    <row r="55" customFormat="false" ht="15" hidden="false" customHeight="false" outlineLevel="0" collapsed="false">
      <c r="A55" s="8" t="s">
        <v>540</v>
      </c>
      <c r="B55" s="12" t="s">
        <v>27</v>
      </c>
      <c r="C55" s="8" t="s">
        <v>465</v>
      </c>
      <c r="D55" s="10" t="s">
        <v>541</v>
      </c>
      <c r="E55" s="10" t="s">
        <v>542</v>
      </c>
      <c r="F55" s="10" t="s">
        <v>543</v>
      </c>
      <c r="G55" s="8" t="s">
        <v>544</v>
      </c>
      <c r="H55" s="8" t="s">
        <v>545</v>
      </c>
      <c r="I55" s="10" t="s">
        <v>546</v>
      </c>
      <c r="J55" s="8" t="s">
        <v>61</v>
      </c>
      <c r="K55" s="8" t="s">
        <v>83</v>
      </c>
      <c r="L55" s="10" t="s">
        <v>547</v>
      </c>
      <c r="M55" s="10" t="s">
        <v>548</v>
      </c>
      <c r="N55" s="8" t="s">
        <v>474</v>
      </c>
    </row>
    <row r="56" customFormat="false" ht="15" hidden="false" customHeight="false" outlineLevel="0" collapsed="false">
      <c r="A56" s="8" t="s">
        <v>549</v>
      </c>
      <c r="B56" s="12" t="s">
        <v>27</v>
      </c>
      <c r="C56" s="8" t="s">
        <v>465</v>
      </c>
      <c r="D56" s="10" t="s">
        <v>550</v>
      </c>
      <c r="E56" s="10" t="s">
        <v>551</v>
      </c>
      <c r="F56" s="10" t="s">
        <v>552</v>
      </c>
      <c r="G56" s="10" t="s">
        <v>553</v>
      </c>
      <c r="H56" s="10" t="s">
        <v>554</v>
      </c>
      <c r="I56" s="10" t="s">
        <v>555</v>
      </c>
      <c r="J56" s="8" t="s">
        <v>61</v>
      </c>
      <c r="K56" s="10" t="s">
        <v>62</v>
      </c>
      <c r="L56" s="10" t="s">
        <v>556</v>
      </c>
      <c r="M56" s="10" t="s">
        <v>557</v>
      </c>
      <c r="N56" s="8" t="s">
        <v>474</v>
      </c>
    </row>
    <row r="57" customFormat="false" ht="26.85" hidden="false" customHeight="false" outlineLevel="0" collapsed="false">
      <c r="A57" s="8" t="s">
        <v>558</v>
      </c>
      <c r="B57" s="12" t="s">
        <v>27</v>
      </c>
      <c r="C57" s="8" t="s">
        <v>465</v>
      </c>
      <c r="D57" s="10" t="s">
        <v>559</v>
      </c>
      <c r="E57" s="10" t="s">
        <v>560</v>
      </c>
      <c r="F57" s="10" t="s">
        <v>561</v>
      </c>
      <c r="G57" s="10" t="s">
        <v>562</v>
      </c>
      <c r="H57" s="10" t="s">
        <v>563</v>
      </c>
      <c r="I57" s="10" t="s">
        <v>564</v>
      </c>
      <c r="J57" s="10" t="s">
        <v>418</v>
      </c>
      <c r="K57" s="10" t="s">
        <v>62</v>
      </c>
      <c r="L57" s="10" t="s">
        <v>565</v>
      </c>
      <c r="M57" s="10" t="s">
        <v>566</v>
      </c>
      <c r="N57" s="8" t="s">
        <v>474</v>
      </c>
    </row>
    <row r="58" customFormat="false" ht="26.85" hidden="false" customHeight="false" outlineLevel="0" collapsed="false">
      <c r="A58" s="8" t="s">
        <v>567</v>
      </c>
      <c r="B58" s="12" t="s">
        <v>27</v>
      </c>
      <c r="C58" s="8" t="s">
        <v>465</v>
      </c>
      <c r="D58" s="10" t="s">
        <v>568</v>
      </c>
      <c r="E58" s="10" t="s">
        <v>569</v>
      </c>
      <c r="F58" s="10" t="s">
        <v>570</v>
      </c>
      <c r="G58" s="10" t="s">
        <v>571</v>
      </c>
      <c r="H58" s="10" t="s">
        <v>563</v>
      </c>
      <c r="I58" s="10" t="s">
        <v>572</v>
      </c>
      <c r="J58" s="10" t="s">
        <v>418</v>
      </c>
      <c r="K58" s="8" t="s">
        <v>61</v>
      </c>
      <c r="L58" s="10" t="s">
        <v>573</v>
      </c>
      <c r="M58" s="10" t="s">
        <v>574</v>
      </c>
      <c r="N58" s="8" t="s">
        <v>474</v>
      </c>
    </row>
    <row r="59" customFormat="false" ht="26.85" hidden="false" customHeight="false" outlineLevel="0" collapsed="false">
      <c r="A59" s="8" t="s">
        <v>575</v>
      </c>
      <c r="B59" s="13" t="s">
        <v>29</v>
      </c>
      <c r="C59" s="8" t="s">
        <v>576</v>
      </c>
      <c r="D59" s="10" t="s">
        <v>577</v>
      </c>
      <c r="E59" s="10" t="s">
        <v>578</v>
      </c>
      <c r="F59" s="10" t="s">
        <v>579</v>
      </c>
      <c r="G59" s="10" t="s">
        <v>580</v>
      </c>
      <c r="H59" s="10" t="s">
        <v>581</v>
      </c>
      <c r="I59" s="10" t="s">
        <v>582</v>
      </c>
      <c r="J59" s="10" t="s">
        <v>583</v>
      </c>
      <c r="K59" s="10" t="s">
        <v>111</v>
      </c>
      <c r="L59" s="10" t="s">
        <v>584</v>
      </c>
      <c r="M59" s="10" t="s">
        <v>585</v>
      </c>
      <c r="N59" s="8" t="s">
        <v>586</v>
      </c>
    </row>
    <row r="60" customFormat="false" ht="26.85" hidden="false" customHeight="false" outlineLevel="0" collapsed="false">
      <c r="A60" s="8" t="s">
        <v>587</v>
      </c>
      <c r="B60" s="13" t="s">
        <v>29</v>
      </c>
      <c r="C60" s="8" t="s">
        <v>576</v>
      </c>
      <c r="D60" s="10" t="s">
        <v>588</v>
      </c>
      <c r="E60" s="10" t="s">
        <v>589</v>
      </c>
      <c r="F60" s="10" t="s">
        <v>590</v>
      </c>
      <c r="G60" s="10" t="s">
        <v>591</v>
      </c>
      <c r="H60" s="10" t="s">
        <v>581</v>
      </c>
      <c r="I60" s="10" t="s">
        <v>592</v>
      </c>
      <c r="J60" s="10" t="s">
        <v>593</v>
      </c>
      <c r="K60" s="8" t="s">
        <v>61</v>
      </c>
      <c r="L60" s="10" t="s">
        <v>594</v>
      </c>
      <c r="M60" s="10" t="s">
        <v>595</v>
      </c>
      <c r="N60" s="8" t="s">
        <v>586</v>
      </c>
    </row>
    <row r="61" customFormat="false" ht="26.85" hidden="false" customHeight="false" outlineLevel="0" collapsed="false">
      <c r="A61" s="8" t="s">
        <v>596</v>
      </c>
      <c r="B61" s="13" t="s">
        <v>29</v>
      </c>
      <c r="C61" s="8" t="s">
        <v>576</v>
      </c>
      <c r="D61" s="10" t="s">
        <v>597</v>
      </c>
      <c r="E61" s="10" t="s">
        <v>598</v>
      </c>
      <c r="F61" s="10" t="s">
        <v>599</v>
      </c>
      <c r="G61" s="10" t="s">
        <v>600</v>
      </c>
      <c r="H61" s="10" t="s">
        <v>581</v>
      </c>
      <c r="I61" s="10" t="s">
        <v>601</v>
      </c>
      <c r="J61" s="10" t="s">
        <v>583</v>
      </c>
      <c r="K61" s="10" t="s">
        <v>418</v>
      </c>
      <c r="L61" s="10" t="s">
        <v>602</v>
      </c>
      <c r="M61" s="10" t="s">
        <v>603</v>
      </c>
      <c r="N61" s="8" t="s">
        <v>586</v>
      </c>
    </row>
    <row r="62" customFormat="false" ht="26.85" hidden="false" customHeight="false" outlineLevel="0" collapsed="false">
      <c r="A62" s="8" t="s">
        <v>604</v>
      </c>
      <c r="B62" s="13" t="s">
        <v>29</v>
      </c>
      <c r="C62" s="8" t="s">
        <v>576</v>
      </c>
      <c r="D62" s="10" t="s">
        <v>605</v>
      </c>
      <c r="E62" s="10" t="s">
        <v>606</v>
      </c>
      <c r="F62" s="10" t="s">
        <v>607</v>
      </c>
      <c r="G62" s="10" t="s">
        <v>608</v>
      </c>
      <c r="H62" s="10" t="s">
        <v>609</v>
      </c>
      <c r="I62" s="10" t="s">
        <v>610</v>
      </c>
      <c r="J62" s="8" t="s">
        <v>61</v>
      </c>
      <c r="K62" s="10" t="s">
        <v>111</v>
      </c>
      <c r="L62" s="10" t="s">
        <v>611</v>
      </c>
      <c r="M62" s="10" t="s">
        <v>612</v>
      </c>
      <c r="N62" s="8" t="s">
        <v>586</v>
      </c>
    </row>
    <row r="63" customFormat="false" ht="15" hidden="false" customHeight="false" outlineLevel="0" collapsed="false">
      <c r="A63" s="8" t="s">
        <v>613</v>
      </c>
      <c r="B63" s="13" t="s">
        <v>29</v>
      </c>
      <c r="C63" s="8" t="s">
        <v>576</v>
      </c>
      <c r="D63" s="10" t="s">
        <v>614</v>
      </c>
      <c r="E63" s="10" t="s">
        <v>615</v>
      </c>
      <c r="F63" s="10" t="s">
        <v>616</v>
      </c>
      <c r="G63" s="10" t="s">
        <v>617</v>
      </c>
      <c r="H63" s="10" t="s">
        <v>618</v>
      </c>
      <c r="I63" s="10" t="s">
        <v>619</v>
      </c>
      <c r="J63" s="10" t="s">
        <v>583</v>
      </c>
      <c r="K63" s="10" t="s">
        <v>111</v>
      </c>
      <c r="L63" s="10" t="s">
        <v>620</v>
      </c>
      <c r="M63" s="10" t="s">
        <v>621</v>
      </c>
      <c r="N63" s="8" t="s">
        <v>586</v>
      </c>
    </row>
    <row r="64" customFormat="false" ht="15" hidden="false" customHeight="false" outlineLevel="0" collapsed="false">
      <c r="A64" s="8" t="s">
        <v>622</v>
      </c>
      <c r="B64" s="13" t="s">
        <v>29</v>
      </c>
      <c r="C64" s="8" t="s">
        <v>576</v>
      </c>
      <c r="D64" s="10" t="s">
        <v>623</v>
      </c>
      <c r="E64" s="10" t="s">
        <v>624</v>
      </c>
      <c r="F64" s="10" t="s">
        <v>625</v>
      </c>
      <c r="G64" s="10" t="s">
        <v>626</v>
      </c>
      <c r="H64" s="10" t="s">
        <v>581</v>
      </c>
      <c r="I64" s="10" t="s">
        <v>627</v>
      </c>
      <c r="J64" s="10" t="s">
        <v>583</v>
      </c>
      <c r="K64" s="10" t="s">
        <v>111</v>
      </c>
      <c r="L64" s="10" t="s">
        <v>628</v>
      </c>
      <c r="M64" s="10" t="s">
        <v>629</v>
      </c>
      <c r="N64" s="8" t="s">
        <v>586</v>
      </c>
    </row>
    <row r="65" customFormat="false" ht="26.85" hidden="false" customHeight="false" outlineLevel="0" collapsed="false">
      <c r="A65" s="8" t="s">
        <v>630</v>
      </c>
      <c r="B65" s="14" t="s">
        <v>31</v>
      </c>
      <c r="C65" s="8" t="s">
        <v>631</v>
      </c>
      <c r="D65" s="8" t="s">
        <v>632</v>
      </c>
      <c r="E65" s="10" t="s">
        <v>633</v>
      </c>
      <c r="F65" s="10" t="s">
        <v>634</v>
      </c>
      <c r="G65" s="8" t="s">
        <v>635</v>
      </c>
      <c r="H65" s="8" t="s">
        <v>636</v>
      </c>
      <c r="I65" s="10" t="s">
        <v>637</v>
      </c>
      <c r="J65" s="8" t="s">
        <v>61</v>
      </c>
      <c r="K65" s="8" t="s">
        <v>83</v>
      </c>
      <c r="L65" s="10" t="s">
        <v>638</v>
      </c>
      <c r="M65" s="10" t="s">
        <v>639</v>
      </c>
      <c r="N65" s="8" t="s">
        <v>640</v>
      </c>
    </row>
    <row r="66" customFormat="false" ht="15" hidden="false" customHeight="false" outlineLevel="0" collapsed="false">
      <c r="A66" s="8" t="s">
        <v>641</v>
      </c>
      <c r="B66" s="14" t="s">
        <v>31</v>
      </c>
      <c r="C66" s="8" t="s">
        <v>631</v>
      </c>
      <c r="D66" s="10" t="s">
        <v>642</v>
      </c>
      <c r="E66" s="10" t="s">
        <v>643</v>
      </c>
      <c r="F66" s="10" t="s">
        <v>644</v>
      </c>
      <c r="G66" s="10" t="s">
        <v>645</v>
      </c>
      <c r="H66" s="8" t="s">
        <v>636</v>
      </c>
      <c r="I66" s="10" t="s">
        <v>646</v>
      </c>
      <c r="J66" s="8" t="s">
        <v>61</v>
      </c>
      <c r="K66" s="8" t="s">
        <v>83</v>
      </c>
      <c r="L66" s="10" t="s">
        <v>647</v>
      </c>
      <c r="M66" s="10" t="s">
        <v>648</v>
      </c>
      <c r="N66" s="8" t="s">
        <v>640</v>
      </c>
    </row>
    <row r="67" customFormat="false" ht="26.85" hidden="false" customHeight="false" outlineLevel="0" collapsed="false">
      <c r="A67" s="8" t="s">
        <v>649</v>
      </c>
      <c r="B67" s="14" t="s">
        <v>31</v>
      </c>
      <c r="C67" s="8" t="s">
        <v>631</v>
      </c>
      <c r="D67" s="10" t="s">
        <v>650</v>
      </c>
      <c r="E67" s="10" t="s">
        <v>651</v>
      </c>
      <c r="F67" s="10" t="s">
        <v>652</v>
      </c>
      <c r="G67" s="10" t="s">
        <v>653</v>
      </c>
      <c r="H67" s="10" t="s">
        <v>654</v>
      </c>
      <c r="I67" s="10" t="s">
        <v>655</v>
      </c>
      <c r="J67" s="8" t="s">
        <v>61</v>
      </c>
      <c r="K67" s="8" t="s">
        <v>83</v>
      </c>
      <c r="L67" s="10" t="s">
        <v>656</v>
      </c>
      <c r="M67" s="10" t="s">
        <v>657</v>
      </c>
      <c r="N67" s="8" t="s">
        <v>640</v>
      </c>
    </row>
    <row r="68" customFormat="false" ht="26.85" hidden="false" customHeight="false" outlineLevel="0" collapsed="false">
      <c r="A68" s="8" t="s">
        <v>658</v>
      </c>
      <c r="B68" s="14" t="s">
        <v>31</v>
      </c>
      <c r="C68" s="8" t="s">
        <v>631</v>
      </c>
      <c r="D68" s="10" t="s">
        <v>659</v>
      </c>
      <c r="E68" s="10" t="s">
        <v>660</v>
      </c>
      <c r="F68" s="10" t="s">
        <v>661</v>
      </c>
      <c r="G68" s="10" t="s">
        <v>662</v>
      </c>
      <c r="H68" s="10" t="s">
        <v>663</v>
      </c>
      <c r="I68" s="8" t="s">
        <v>664</v>
      </c>
      <c r="J68" s="8" t="s">
        <v>61</v>
      </c>
      <c r="K68" s="8" t="s">
        <v>83</v>
      </c>
      <c r="L68" s="10" t="s">
        <v>665</v>
      </c>
      <c r="M68" s="10" t="s">
        <v>666</v>
      </c>
      <c r="N68" s="8" t="s">
        <v>640</v>
      </c>
    </row>
    <row r="69" customFormat="false" ht="26.85" hidden="false" customHeight="false" outlineLevel="0" collapsed="false">
      <c r="A69" s="8" t="s">
        <v>667</v>
      </c>
      <c r="B69" s="14" t="s">
        <v>31</v>
      </c>
      <c r="C69" s="8" t="s">
        <v>631</v>
      </c>
      <c r="D69" s="10" t="s">
        <v>668</v>
      </c>
      <c r="E69" s="10" t="s">
        <v>669</v>
      </c>
      <c r="F69" s="10" t="s">
        <v>670</v>
      </c>
      <c r="G69" s="10" t="s">
        <v>671</v>
      </c>
      <c r="H69" s="10" t="s">
        <v>671</v>
      </c>
      <c r="I69" s="10" t="s">
        <v>672</v>
      </c>
      <c r="J69" s="8" t="s">
        <v>61</v>
      </c>
      <c r="K69" s="8" t="s">
        <v>83</v>
      </c>
      <c r="L69" s="10" t="s">
        <v>673</v>
      </c>
      <c r="M69" s="10" t="s">
        <v>674</v>
      </c>
      <c r="N69" s="8" t="s">
        <v>640</v>
      </c>
    </row>
    <row r="70" customFormat="false" ht="26.85" hidden="false" customHeight="false" outlineLevel="0" collapsed="false">
      <c r="A70" s="8" t="s">
        <v>675</v>
      </c>
      <c r="B70" s="14" t="s">
        <v>31</v>
      </c>
      <c r="C70" s="8" t="s">
        <v>631</v>
      </c>
      <c r="D70" s="10" t="s">
        <v>676</v>
      </c>
      <c r="E70" s="10" t="s">
        <v>677</v>
      </c>
      <c r="F70" s="10" t="s">
        <v>678</v>
      </c>
      <c r="G70" s="10" t="s">
        <v>679</v>
      </c>
      <c r="H70" s="10" t="s">
        <v>680</v>
      </c>
      <c r="I70" s="10" t="s">
        <v>681</v>
      </c>
      <c r="J70" s="8" t="s">
        <v>61</v>
      </c>
      <c r="K70" s="10" t="s">
        <v>491</v>
      </c>
      <c r="L70" s="10" t="s">
        <v>682</v>
      </c>
      <c r="M70" s="8" t="s">
        <v>683</v>
      </c>
      <c r="N70" s="8" t="s">
        <v>640</v>
      </c>
    </row>
    <row r="71" customFormat="false" ht="15" hidden="false" customHeight="false" outlineLevel="0" collapsed="false">
      <c r="A71" s="8" t="s">
        <v>684</v>
      </c>
      <c r="B71" s="14" t="s">
        <v>31</v>
      </c>
      <c r="C71" s="8" t="s">
        <v>631</v>
      </c>
      <c r="D71" s="10" t="s">
        <v>685</v>
      </c>
      <c r="E71" s="10" t="s">
        <v>686</v>
      </c>
      <c r="F71" s="10" t="s">
        <v>687</v>
      </c>
      <c r="G71" s="10" t="s">
        <v>688</v>
      </c>
      <c r="H71" s="10" t="s">
        <v>654</v>
      </c>
      <c r="I71" s="10" t="s">
        <v>689</v>
      </c>
      <c r="J71" s="8" t="s">
        <v>61</v>
      </c>
      <c r="K71" s="8" t="s">
        <v>83</v>
      </c>
      <c r="L71" s="10" t="s">
        <v>690</v>
      </c>
      <c r="M71" s="10" t="s">
        <v>691</v>
      </c>
      <c r="N71" s="8" t="s">
        <v>640</v>
      </c>
    </row>
    <row r="72" customFormat="false" ht="26.85" hidden="false" customHeight="false" outlineLevel="0" collapsed="false">
      <c r="A72" s="8" t="s">
        <v>692</v>
      </c>
      <c r="B72" s="14" t="s">
        <v>31</v>
      </c>
      <c r="C72" s="8" t="s">
        <v>631</v>
      </c>
      <c r="D72" s="10" t="s">
        <v>693</v>
      </c>
      <c r="E72" s="10" t="s">
        <v>694</v>
      </c>
      <c r="F72" s="10" t="s">
        <v>695</v>
      </c>
      <c r="G72" s="10" t="s">
        <v>696</v>
      </c>
      <c r="H72" s="10" t="s">
        <v>697</v>
      </c>
      <c r="I72" s="10" t="s">
        <v>698</v>
      </c>
      <c r="J72" s="10" t="s">
        <v>583</v>
      </c>
      <c r="K72" s="10" t="s">
        <v>111</v>
      </c>
      <c r="L72" s="10" t="s">
        <v>699</v>
      </c>
      <c r="M72" s="10" t="s">
        <v>700</v>
      </c>
      <c r="N72" s="8" t="s">
        <v>640</v>
      </c>
    </row>
    <row r="73" customFormat="false" ht="26.85" hidden="false" customHeight="false" outlineLevel="0" collapsed="false">
      <c r="A73" s="8" t="s">
        <v>701</v>
      </c>
      <c r="B73" s="9" t="s">
        <v>33</v>
      </c>
      <c r="C73" s="8" t="s">
        <v>702</v>
      </c>
      <c r="D73" s="10" t="s">
        <v>703</v>
      </c>
      <c r="E73" s="10" t="s">
        <v>704</v>
      </c>
      <c r="F73" s="10" t="s">
        <v>705</v>
      </c>
      <c r="G73" s="10" t="s">
        <v>706</v>
      </c>
      <c r="H73" s="10" t="s">
        <v>706</v>
      </c>
      <c r="I73" s="10" t="s">
        <v>707</v>
      </c>
      <c r="J73" s="10" t="s">
        <v>708</v>
      </c>
      <c r="K73" s="8" t="s">
        <v>61</v>
      </c>
      <c r="L73" s="10" t="s">
        <v>709</v>
      </c>
      <c r="M73" s="10" t="s">
        <v>710</v>
      </c>
      <c r="N73" s="8" t="s">
        <v>711</v>
      </c>
    </row>
    <row r="74" customFormat="false" ht="26.85" hidden="false" customHeight="false" outlineLevel="0" collapsed="false">
      <c r="A74" s="8" t="s">
        <v>712</v>
      </c>
      <c r="B74" s="9" t="s">
        <v>33</v>
      </c>
      <c r="C74" s="8" t="s">
        <v>702</v>
      </c>
      <c r="D74" s="10" t="s">
        <v>713</v>
      </c>
      <c r="E74" s="10" t="s">
        <v>714</v>
      </c>
      <c r="F74" s="10" t="s">
        <v>715</v>
      </c>
      <c r="G74" s="10" t="s">
        <v>716</v>
      </c>
      <c r="H74" s="10" t="s">
        <v>717</v>
      </c>
      <c r="I74" s="10" t="s">
        <v>718</v>
      </c>
      <c r="J74" s="8" t="s">
        <v>92</v>
      </c>
      <c r="K74" s="10" t="s">
        <v>111</v>
      </c>
      <c r="L74" s="10" t="s">
        <v>719</v>
      </c>
      <c r="M74" s="10" t="s">
        <v>720</v>
      </c>
      <c r="N74" s="8" t="s">
        <v>640</v>
      </c>
    </row>
    <row r="75" customFormat="false" ht="26.85" hidden="false" customHeight="false" outlineLevel="0" collapsed="false">
      <c r="A75" s="8" t="s">
        <v>721</v>
      </c>
      <c r="B75" s="9" t="s">
        <v>33</v>
      </c>
      <c r="C75" s="8" t="s">
        <v>702</v>
      </c>
      <c r="D75" s="10" t="s">
        <v>722</v>
      </c>
      <c r="E75" s="10" t="s">
        <v>723</v>
      </c>
      <c r="F75" s="10" t="s">
        <v>724</v>
      </c>
      <c r="G75" s="10" t="s">
        <v>725</v>
      </c>
      <c r="H75" s="10" t="s">
        <v>726</v>
      </c>
      <c r="I75" s="8" t="s">
        <v>727</v>
      </c>
      <c r="J75" s="8" t="s">
        <v>92</v>
      </c>
      <c r="K75" s="8" t="s">
        <v>61</v>
      </c>
      <c r="L75" s="10" t="s">
        <v>728</v>
      </c>
      <c r="M75" s="10" t="s">
        <v>729</v>
      </c>
      <c r="N75" s="8" t="s">
        <v>640</v>
      </c>
    </row>
    <row r="76" customFormat="false" ht="15" hidden="false" customHeight="false" outlineLevel="0" collapsed="false">
      <c r="A76" s="8" t="s">
        <v>730</v>
      </c>
      <c r="B76" s="9" t="s">
        <v>33</v>
      </c>
      <c r="C76" s="8" t="s">
        <v>702</v>
      </c>
      <c r="D76" s="10" t="s">
        <v>731</v>
      </c>
      <c r="E76" s="10" t="s">
        <v>732</v>
      </c>
      <c r="F76" s="10" t="s">
        <v>732</v>
      </c>
      <c r="G76" s="10" t="s">
        <v>733</v>
      </c>
      <c r="H76" s="10" t="s">
        <v>734</v>
      </c>
      <c r="I76" s="10" t="s">
        <v>735</v>
      </c>
      <c r="J76" s="8" t="s">
        <v>92</v>
      </c>
      <c r="K76" s="8" t="s">
        <v>83</v>
      </c>
      <c r="L76" s="10" t="s">
        <v>736</v>
      </c>
      <c r="M76" s="10" t="s">
        <v>737</v>
      </c>
      <c r="N76" s="8" t="s">
        <v>640</v>
      </c>
    </row>
    <row r="77" customFormat="false" ht="15" hidden="false" customHeight="false" outlineLevel="0" collapsed="false">
      <c r="A77" s="8" t="s">
        <v>738</v>
      </c>
      <c r="B77" s="9" t="s">
        <v>33</v>
      </c>
      <c r="C77" s="8" t="s">
        <v>702</v>
      </c>
      <c r="D77" s="10" t="s">
        <v>739</v>
      </c>
      <c r="E77" s="10" t="s">
        <v>740</v>
      </c>
      <c r="F77" s="10" t="s">
        <v>741</v>
      </c>
      <c r="G77" s="10" t="s">
        <v>742</v>
      </c>
      <c r="H77" s="10" t="s">
        <v>743</v>
      </c>
      <c r="I77" s="10" t="s">
        <v>744</v>
      </c>
      <c r="J77" s="10" t="s">
        <v>583</v>
      </c>
      <c r="K77" s="8" t="s">
        <v>61</v>
      </c>
      <c r="L77" s="10" t="s">
        <v>745</v>
      </c>
      <c r="M77" s="10" t="s">
        <v>746</v>
      </c>
      <c r="N77" s="8" t="s">
        <v>640</v>
      </c>
    </row>
    <row r="78" customFormat="false" ht="26.85" hidden="false" customHeight="false" outlineLevel="0" collapsed="false">
      <c r="A78" s="8" t="s">
        <v>747</v>
      </c>
      <c r="B78" s="9" t="s">
        <v>33</v>
      </c>
      <c r="C78" s="8" t="s">
        <v>702</v>
      </c>
      <c r="D78" s="8" t="s">
        <v>748</v>
      </c>
      <c r="E78" s="10" t="s">
        <v>749</v>
      </c>
      <c r="F78" s="10" t="s">
        <v>750</v>
      </c>
      <c r="G78" s="8" t="s">
        <v>751</v>
      </c>
      <c r="H78" s="8" t="s">
        <v>752</v>
      </c>
      <c r="I78" s="10" t="s">
        <v>753</v>
      </c>
      <c r="J78" s="10" t="s">
        <v>111</v>
      </c>
      <c r="K78" s="10" t="s">
        <v>111</v>
      </c>
      <c r="L78" s="10" t="s">
        <v>754</v>
      </c>
      <c r="M78" s="10" t="s">
        <v>755</v>
      </c>
      <c r="N78" s="8" t="s">
        <v>640</v>
      </c>
    </row>
    <row r="79" customFormat="false" ht="26.85" hidden="false" customHeight="false" outlineLevel="0" collapsed="false">
      <c r="A79" s="8" t="s">
        <v>756</v>
      </c>
      <c r="B79" s="11" t="s">
        <v>35</v>
      </c>
      <c r="C79" s="8" t="s">
        <v>757</v>
      </c>
      <c r="D79" s="10" t="s">
        <v>758</v>
      </c>
      <c r="E79" s="10" t="s">
        <v>759</v>
      </c>
      <c r="F79" s="10" t="s">
        <v>760</v>
      </c>
      <c r="G79" s="10" t="s">
        <v>761</v>
      </c>
      <c r="H79" s="10" t="s">
        <v>762</v>
      </c>
      <c r="I79" s="10" t="s">
        <v>763</v>
      </c>
      <c r="J79" s="8" t="s">
        <v>61</v>
      </c>
      <c r="K79" s="10" t="s">
        <v>62</v>
      </c>
      <c r="L79" s="10" t="s">
        <v>764</v>
      </c>
      <c r="M79" s="10" t="s">
        <v>765</v>
      </c>
      <c r="N79" s="8" t="s">
        <v>766</v>
      </c>
    </row>
    <row r="80" customFormat="false" ht="26.85" hidden="false" customHeight="false" outlineLevel="0" collapsed="false">
      <c r="A80" s="8" t="s">
        <v>767</v>
      </c>
      <c r="B80" s="11" t="s">
        <v>35</v>
      </c>
      <c r="C80" s="8" t="s">
        <v>757</v>
      </c>
      <c r="D80" s="10" t="s">
        <v>768</v>
      </c>
      <c r="E80" s="10" t="s">
        <v>769</v>
      </c>
      <c r="F80" s="10" t="s">
        <v>770</v>
      </c>
      <c r="G80" s="10" t="s">
        <v>771</v>
      </c>
      <c r="H80" s="10" t="s">
        <v>772</v>
      </c>
      <c r="I80" s="10" t="s">
        <v>773</v>
      </c>
      <c r="J80" s="8" t="s">
        <v>61</v>
      </c>
      <c r="K80" s="10" t="s">
        <v>111</v>
      </c>
      <c r="L80" s="10" t="s">
        <v>774</v>
      </c>
      <c r="M80" s="10" t="s">
        <v>775</v>
      </c>
      <c r="N80" s="8" t="s">
        <v>766</v>
      </c>
    </row>
    <row r="81" customFormat="false" ht="15" hidden="false" customHeight="false" outlineLevel="0" collapsed="false">
      <c r="A81" s="8" t="s">
        <v>776</v>
      </c>
      <c r="B81" s="11" t="s">
        <v>35</v>
      </c>
      <c r="C81" s="8" t="s">
        <v>757</v>
      </c>
      <c r="D81" s="10" t="s">
        <v>777</v>
      </c>
      <c r="E81" s="10" t="s">
        <v>778</v>
      </c>
      <c r="F81" s="10" t="s">
        <v>779</v>
      </c>
      <c r="G81" s="10" t="s">
        <v>780</v>
      </c>
      <c r="H81" s="10" t="s">
        <v>781</v>
      </c>
      <c r="I81" s="10" t="s">
        <v>782</v>
      </c>
      <c r="J81" s="8" t="s">
        <v>61</v>
      </c>
      <c r="K81" s="8" t="s">
        <v>83</v>
      </c>
      <c r="L81" s="10" t="s">
        <v>783</v>
      </c>
      <c r="M81" s="10" t="s">
        <v>784</v>
      </c>
      <c r="N81" s="8" t="s">
        <v>766</v>
      </c>
    </row>
    <row r="82" customFormat="false" ht="26.85" hidden="false" customHeight="false" outlineLevel="0" collapsed="false">
      <c r="A82" s="8" t="s">
        <v>785</v>
      </c>
      <c r="B82" s="11" t="s">
        <v>35</v>
      </c>
      <c r="C82" s="8" t="s">
        <v>757</v>
      </c>
      <c r="D82" s="10" t="s">
        <v>786</v>
      </c>
      <c r="E82" s="10" t="s">
        <v>787</v>
      </c>
      <c r="F82" s="10" t="s">
        <v>788</v>
      </c>
      <c r="G82" s="10" t="s">
        <v>789</v>
      </c>
      <c r="H82" s="10" t="s">
        <v>790</v>
      </c>
      <c r="I82" s="10" t="s">
        <v>791</v>
      </c>
      <c r="J82" s="10" t="s">
        <v>792</v>
      </c>
      <c r="K82" s="8" t="s">
        <v>61</v>
      </c>
      <c r="L82" s="10" t="s">
        <v>793</v>
      </c>
      <c r="M82" s="10" t="s">
        <v>794</v>
      </c>
      <c r="N82" s="8" t="s">
        <v>766</v>
      </c>
    </row>
    <row r="83" customFormat="false" ht="15" hidden="false" customHeight="false" outlineLevel="0" collapsed="false">
      <c r="A83" s="8" t="s">
        <v>795</v>
      </c>
      <c r="B83" s="11" t="s">
        <v>35</v>
      </c>
      <c r="C83" s="8" t="s">
        <v>757</v>
      </c>
      <c r="D83" s="10" t="s">
        <v>796</v>
      </c>
      <c r="E83" s="10" t="s">
        <v>797</v>
      </c>
      <c r="F83" s="10" t="s">
        <v>798</v>
      </c>
      <c r="G83" s="10" t="s">
        <v>799</v>
      </c>
      <c r="H83" s="10" t="s">
        <v>800</v>
      </c>
      <c r="I83" s="10" t="s">
        <v>801</v>
      </c>
      <c r="J83" s="8" t="s">
        <v>510</v>
      </c>
      <c r="K83" s="8" t="s">
        <v>83</v>
      </c>
      <c r="L83" s="10" t="s">
        <v>802</v>
      </c>
      <c r="M83" s="10" t="s">
        <v>803</v>
      </c>
      <c r="N83" s="8" t="s">
        <v>766</v>
      </c>
    </row>
    <row r="84" customFormat="false" ht="26.85" hidden="false" customHeight="false" outlineLevel="0" collapsed="false">
      <c r="A84" s="8" t="s">
        <v>804</v>
      </c>
      <c r="B84" s="11" t="s">
        <v>35</v>
      </c>
      <c r="C84" s="8" t="s">
        <v>757</v>
      </c>
      <c r="D84" s="10" t="s">
        <v>805</v>
      </c>
      <c r="E84" s="10" t="s">
        <v>806</v>
      </c>
      <c r="F84" s="10" t="s">
        <v>807</v>
      </c>
      <c r="G84" s="10" t="s">
        <v>808</v>
      </c>
      <c r="H84" s="10" t="s">
        <v>809</v>
      </c>
      <c r="I84" s="10" t="s">
        <v>810</v>
      </c>
      <c r="J84" s="8" t="s">
        <v>811</v>
      </c>
      <c r="K84" s="10" t="s">
        <v>111</v>
      </c>
      <c r="L84" s="10" t="s">
        <v>812</v>
      </c>
      <c r="M84" s="10" t="s">
        <v>813</v>
      </c>
      <c r="N84" s="8" t="s">
        <v>814</v>
      </c>
    </row>
    <row r="85" customFormat="false" ht="15" hidden="false" customHeight="false" outlineLevel="0" collapsed="false">
      <c r="A85" s="8" t="s">
        <v>815</v>
      </c>
      <c r="B85" s="11" t="s">
        <v>35</v>
      </c>
      <c r="C85" s="8" t="s">
        <v>757</v>
      </c>
      <c r="D85" s="10" t="s">
        <v>816</v>
      </c>
      <c r="E85" s="10" t="s">
        <v>817</v>
      </c>
      <c r="F85" s="10" t="s">
        <v>818</v>
      </c>
      <c r="G85" s="10" t="s">
        <v>819</v>
      </c>
      <c r="H85" s="10" t="s">
        <v>820</v>
      </c>
      <c r="I85" s="10" t="s">
        <v>821</v>
      </c>
      <c r="J85" s="8" t="s">
        <v>61</v>
      </c>
      <c r="K85" s="10" t="s">
        <v>62</v>
      </c>
      <c r="L85" s="10" t="s">
        <v>822</v>
      </c>
      <c r="M85" s="10" t="s">
        <v>823</v>
      </c>
      <c r="N85" s="8" t="s">
        <v>766</v>
      </c>
    </row>
    <row r="86" customFormat="false" ht="26.85" hidden="false" customHeight="false" outlineLevel="0" collapsed="false">
      <c r="A86" s="8" t="s">
        <v>824</v>
      </c>
      <c r="B86" s="11" t="s">
        <v>35</v>
      </c>
      <c r="C86" s="8" t="s">
        <v>757</v>
      </c>
      <c r="D86" s="10" t="s">
        <v>825</v>
      </c>
      <c r="E86" s="10" t="s">
        <v>826</v>
      </c>
      <c r="F86" s="10" t="s">
        <v>827</v>
      </c>
      <c r="G86" s="10" t="s">
        <v>828</v>
      </c>
      <c r="H86" s="10" t="s">
        <v>829</v>
      </c>
      <c r="I86" s="10" t="s">
        <v>830</v>
      </c>
      <c r="J86" s="8" t="s">
        <v>61</v>
      </c>
      <c r="K86" s="8" t="s">
        <v>83</v>
      </c>
      <c r="L86" s="10" t="s">
        <v>831</v>
      </c>
      <c r="M86" s="10" t="s">
        <v>832</v>
      </c>
      <c r="N86" s="8" t="s">
        <v>766</v>
      </c>
    </row>
    <row r="87" customFormat="false" ht="26.85" hidden="false" customHeight="false" outlineLevel="0" collapsed="false">
      <c r="A87" s="8" t="s">
        <v>833</v>
      </c>
      <c r="B87" s="12" t="s">
        <v>37</v>
      </c>
      <c r="C87" s="8" t="s">
        <v>834</v>
      </c>
      <c r="D87" s="10" t="s">
        <v>835</v>
      </c>
      <c r="E87" s="10" t="s">
        <v>836</v>
      </c>
      <c r="F87" s="10" t="s">
        <v>837</v>
      </c>
      <c r="G87" s="10" t="s">
        <v>838</v>
      </c>
      <c r="H87" s="10" t="s">
        <v>839</v>
      </c>
      <c r="I87" s="10" t="s">
        <v>840</v>
      </c>
      <c r="J87" s="8" t="s">
        <v>92</v>
      </c>
      <c r="K87" s="8" t="s">
        <v>61</v>
      </c>
      <c r="L87" s="10" t="s">
        <v>841</v>
      </c>
      <c r="M87" s="10" t="s">
        <v>842</v>
      </c>
      <c r="N87" s="8" t="s">
        <v>843</v>
      </c>
    </row>
    <row r="88" customFormat="false" ht="26.85" hidden="false" customHeight="false" outlineLevel="0" collapsed="false">
      <c r="A88" s="8" t="s">
        <v>844</v>
      </c>
      <c r="B88" s="12" t="s">
        <v>37</v>
      </c>
      <c r="C88" s="8" t="s">
        <v>834</v>
      </c>
      <c r="D88" s="10" t="s">
        <v>845</v>
      </c>
      <c r="E88" s="10" t="s">
        <v>846</v>
      </c>
      <c r="F88" s="10" t="s">
        <v>847</v>
      </c>
      <c r="G88" s="10" t="s">
        <v>848</v>
      </c>
      <c r="H88" s="10" t="s">
        <v>849</v>
      </c>
      <c r="I88" s="10" t="s">
        <v>850</v>
      </c>
      <c r="J88" s="8" t="s">
        <v>61</v>
      </c>
      <c r="K88" s="10" t="s">
        <v>111</v>
      </c>
      <c r="L88" s="10" t="s">
        <v>851</v>
      </c>
      <c r="M88" s="10" t="s">
        <v>852</v>
      </c>
      <c r="N88" s="8" t="s">
        <v>843</v>
      </c>
    </row>
    <row r="89" customFormat="false" ht="15" hidden="false" customHeight="false" outlineLevel="0" collapsed="false">
      <c r="A89" s="8" t="s">
        <v>853</v>
      </c>
      <c r="B89" s="12" t="s">
        <v>37</v>
      </c>
      <c r="C89" s="8" t="s">
        <v>834</v>
      </c>
      <c r="D89" s="8" t="s">
        <v>854</v>
      </c>
      <c r="E89" s="10" t="s">
        <v>855</v>
      </c>
      <c r="F89" s="10" t="s">
        <v>856</v>
      </c>
      <c r="G89" s="8" t="s">
        <v>857</v>
      </c>
      <c r="H89" s="10" t="s">
        <v>809</v>
      </c>
      <c r="I89" s="10" t="s">
        <v>858</v>
      </c>
      <c r="J89" s="8" t="s">
        <v>92</v>
      </c>
      <c r="K89" s="8" t="s">
        <v>83</v>
      </c>
      <c r="L89" s="10" t="s">
        <v>859</v>
      </c>
      <c r="M89" s="10" t="s">
        <v>860</v>
      </c>
      <c r="N89" s="8" t="s">
        <v>843</v>
      </c>
    </row>
    <row r="90" customFormat="false" ht="26.85" hidden="false" customHeight="false" outlineLevel="0" collapsed="false">
      <c r="A90" s="8" t="s">
        <v>861</v>
      </c>
      <c r="B90" s="12" t="s">
        <v>37</v>
      </c>
      <c r="C90" s="8" t="s">
        <v>834</v>
      </c>
      <c r="D90" s="10" t="s">
        <v>862</v>
      </c>
      <c r="E90" s="10" t="s">
        <v>863</v>
      </c>
      <c r="F90" s="10" t="s">
        <v>864</v>
      </c>
      <c r="G90" s="10" t="s">
        <v>865</v>
      </c>
      <c r="H90" s="10" t="s">
        <v>866</v>
      </c>
      <c r="I90" s="10" t="s">
        <v>867</v>
      </c>
      <c r="J90" s="8" t="s">
        <v>92</v>
      </c>
      <c r="K90" s="8" t="s">
        <v>61</v>
      </c>
      <c r="L90" s="10" t="s">
        <v>868</v>
      </c>
      <c r="M90" s="10" t="s">
        <v>869</v>
      </c>
      <c r="N90" s="8" t="s">
        <v>843</v>
      </c>
    </row>
    <row r="91" customFormat="false" ht="26.85" hidden="false" customHeight="false" outlineLevel="0" collapsed="false">
      <c r="A91" s="8" t="s">
        <v>870</v>
      </c>
      <c r="B91" s="12" t="s">
        <v>37</v>
      </c>
      <c r="C91" s="8" t="s">
        <v>834</v>
      </c>
      <c r="D91" s="10" t="s">
        <v>871</v>
      </c>
      <c r="E91" s="10" t="s">
        <v>872</v>
      </c>
      <c r="F91" s="10" t="s">
        <v>873</v>
      </c>
      <c r="G91" s="10" t="s">
        <v>874</v>
      </c>
      <c r="H91" s="10" t="s">
        <v>875</v>
      </c>
      <c r="I91" s="10" t="s">
        <v>876</v>
      </c>
      <c r="J91" s="10" t="s">
        <v>62</v>
      </c>
      <c r="K91" s="8" t="s">
        <v>83</v>
      </c>
      <c r="L91" s="10" t="s">
        <v>877</v>
      </c>
      <c r="M91" s="10" t="s">
        <v>878</v>
      </c>
      <c r="N91" s="8" t="s">
        <v>843</v>
      </c>
    </row>
    <row r="92" customFormat="false" ht="39.55" hidden="false" customHeight="false" outlineLevel="0" collapsed="false">
      <c r="A92" s="8" t="s">
        <v>879</v>
      </c>
      <c r="B92" s="12" t="s">
        <v>37</v>
      </c>
      <c r="C92" s="8" t="s">
        <v>834</v>
      </c>
      <c r="D92" s="10" t="s">
        <v>880</v>
      </c>
      <c r="E92" s="10" t="s">
        <v>881</v>
      </c>
      <c r="F92" s="10" t="s">
        <v>882</v>
      </c>
      <c r="G92" s="10" t="s">
        <v>883</v>
      </c>
      <c r="H92" s="10" t="s">
        <v>884</v>
      </c>
      <c r="I92" s="10" t="s">
        <v>885</v>
      </c>
      <c r="J92" s="8" t="s">
        <v>61</v>
      </c>
      <c r="K92" s="10" t="s">
        <v>111</v>
      </c>
      <c r="L92" s="10" t="s">
        <v>886</v>
      </c>
      <c r="M92" s="10" t="s">
        <v>887</v>
      </c>
      <c r="N92" s="8" t="s">
        <v>843</v>
      </c>
    </row>
    <row r="93" customFormat="false" ht="26.85" hidden="false" customHeight="false" outlineLevel="0" collapsed="false">
      <c r="A93" s="8" t="s">
        <v>888</v>
      </c>
      <c r="B93" s="12" t="s">
        <v>37</v>
      </c>
      <c r="C93" s="8" t="s">
        <v>834</v>
      </c>
      <c r="D93" s="10" t="s">
        <v>889</v>
      </c>
      <c r="E93" s="10" t="s">
        <v>890</v>
      </c>
      <c r="F93" s="10" t="s">
        <v>891</v>
      </c>
      <c r="G93" s="10" t="s">
        <v>892</v>
      </c>
      <c r="H93" s="10" t="s">
        <v>893</v>
      </c>
      <c r="I93" s="8" t="s">
        <v>894</v>
      </c>
      <c r="J93" s="8" t="s">
        <v>92</v>
      </c>
      <c r="K93" s="10" t="s">
        <v>62</v>
      </c>
      <c r="L93" s="10" t="s">
        <v>895</v>
      </c>
      <c r="M93" s="10" t="s">
        <v>896</v>
      </c>
      <c r="N93" s="8" t="s">
        <v>843</v>
      </c>
    </row>
    <row r="94" customFormat="false" ht="26.85" hidden="false" customHeight="false" outlineLevel="0" collapsed="false">
      <c r="A94" s="8" t="s">
        <v>897</v>
      </c>
      <c r="B94" s="12" t="s">
        <v>37</v>
      </c>
      <c r="C94" s="8" t="s">
        <v>834</v>
      </c>
      <c r="D94" s="10" t="s">
        <v>898</v>
      </c>
      <c r="E94" s="10" t="s">
        <v>899</v>
      </c>
      <c r="F94" s="10" t="s">
        <v>900</v>
      </c>
      <c r="G94" s="10" t="s">
        <v>901</v>
      </c>
      <c r="H94" s="10" t="s">
        <v>902</v>
      </c>
      <c r="I94" s="10" t="s">
        <v>903</v>
      </c>
      <c r="J94" s="8" t="s">
        <v>61</v>
      </c>
      <c r="K94" s="8" t="s">
        <v>83</v>
      </c>
      <c r="L94" s="10" t="s">
        <v>904</v>
      </c>
      <c r="M94" s="10" t="s">
        <v>905</v>
      </c>
      <c r="N94" s="8" t="s">
        <v>843</v>
      </c>
    </row>
    <row r="95" customFormat="false" ht="26.85" hidden="false" customHeight="false" outlineLevel="0" collapsed="false">
      <c r="A95" s="8" t="s">
        <v>906</v>
      </c>
      <c r="B95" s="12" t="s">
        <v>37</v>
      </c>
      <c r="C95" s="8" t="s">
        <v>834</v>
      </c>
      <c r="D95" s="10" t="s">
        <v>907</v>
      </c>
      <c r="E95" s="10" t="s">
        <v>908</v>
      </c>
      <c r="F95" s="10" t="s">
        <v>909</v>
      </c>
      <c r="G95" s="10" t="s">
        <v>910</v>
      </c>
      <c r="H95" s="10" t="s">
        <v>911</v>
      </c>
      <c r="I95" s="10" t="s">
        <v>912</v>
      </c>
      <c r="J95" s="8" t="s">
        <v>61</v>
      </c>
      <c r="K95" s="8" t="s">
        <v>83</v>
      </c>
      <c r="L95" s="10" t="s">
        <v>913</v>
      </c>
      <c r="M95" s="10" t="s">
        <v>914</v>
      </c>
      <c r="N95" s="8" t="s">
        <v>915</v>
      </c>
    </row>
  </sheetData>
  <autoFilter ref="A1:N9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30"/>
    <col collapsed="false" customWidth="true" hidden="false" outlineLevel="0" max="4" min="4" style="0" width="44"/>
    <col collapsed="false" customWidth="true" hidden="false" outlineLevel="0" max="6" min="5" style="0" width="14"/>
    <col collapsed="false" customWidth="true" hidden="false" outlineLevel="0" max="7" min="7" style="0" width="24"/>
    <col collapsed="false" customWidth="true" hidden="false" outlineLevel="0" max="8" min="8" style="0" width="34"/>
    <col collapsed="false" customWidth="true" hidden="false" outlineLevel="0" max="9" min="9" style="0" width="10"/>
  </cols>
  <sheetData>
    <row r="1" customFormat="false" ht="30" hidden="false" customHeight="true" outlineLevel="0" collapsed="false">
      <c r="A1" s="5" t="s">
        <v>916</v>
      </c>
      <c r="B1" s="5" t="s">
        <v>17</v>
      </c>
      <c r="C1" s="5" t="s">
        <v>917</v>
      </c>
      <c r="D1" s="5" t="s">
        <v>918</v>
      </c>
      <c r="E1" s="5" t="s">
        <v>919</v>
      </c>
      <c r="F1" s="5" t="s">
        <v>920</v>
      </c>
      <c r="G1" s="5" t="s">
        <v>921</v>
      </c>
      <c r="H1" s="5" t="s">
        <v>922</v>
      </c>
      <c r="I1" s="5" t="s">
        <v>923</v>
      </c>
    </row>
    <row r="2" customFormat="false" ht="26.85" hidden="false" customHeight="false" outlineLevel="0" collapsed="false">
      <c r="A2" s="10" t="s">
        <v>59</v>
      </c>
      <c r="B2" s="6" t="s">
        <v>21</v>
      </c>
      <c r="C2" s="10" t="s">
        <v>924</v>
      </c>
      <c r="D2" s="10" t="s">
        <v>925</v>
      </c>
      <c r="E2" s="8" t="s">
        <v>61</v>
      </c>
      <c r="F2" s="10" t="s">
        <v>62</v>
      </c>
      <c r="G2" s="10" t="s">
        <v>926</v>
      </c>
      <c r="H2" s="10" t="s">
        <v>58</v>
      </c>
      <c r="I2" s="7" t="n">
        <f aca="false">COUNTIF(タスク一覧!$H:$H,A2)</f>
        <v>1</v>
      </c>
    </row>
    <row r="3" customFormat="false" ht="15" hidden="false" customHeight="false" outlineLevel="0" collapsed="false">
      <c r="A3" s="10" t="s">
        <v>71</v>
      </c>
      <c r="B3" s="6" t="s">
        <v>21</v>
      </c>
      <c r="C3" s="10" t="s">
        <v>927</v>
      </c>
      <c r="D3" s="10" t="s">
        <v>928</v>
      </c>
      <c r="E3" s="8" t="s">
        <v>61</v>
      </c>
      <c r="F3" s="8" t="s">
        <v>83</v>
      </c>
      <c r="G3" s="10" t="s">
        <v>929</v>
      </c>
      <c r="H3" s="10" t="s">
        <v>70</v>
      </c>
      <c r="I3" s="7" t="n">
        <f aca="false">COUNTIF(タスク一覧!$H:$H,A3)</f>
        <v>1</v>
      </c>
    </row>
    <row r="4" customFormat="false" ht="15" hidden="false" customHeight="false" outlineLevel="0" collapsed="false">
      <c r="A4" s="10" t="s">
        <v>80</v>
      </c>
      <c r="B4" s="6" t="s">
        <v>21</v>
      </c>
      <c r="C4" s="10" t="s">
        <v>930</v>
      </c>
      <c r="D4" s="10" t="s">
        <v>931</v>
      </c>
      <c r="E4" s="8" t="s">
        <v>92</v>
      </c>
      <c r="F4" s="8" t="s">
        <v>83</v>
      </c>
      <c r="G4" s="10" t="s">
        <v>932</v>
      </c>
      <c r="H4" s="8" t="s">
        <v>933</v>
      </c>
      <c r="I4" s="7" t="n">
        <f aca="false">COUNTIF(タスク一覧!$H:$H,A4)</f>
        <v>1</v>
      </c>
    </row>
    <row r="5" customFormat="false" ht="15" hidden="false" customHeight="false" outlineLevel="0" collapsed="false">
      <c r="A5" s="10" t="s">
        <v>89</v>
      </c>
      <c r="B5" s="6" t="s">
        <v>21</v>
      </c>
      <c r="C5" s="10" t="s">
        <v>934</v>
      </c>
      <c r="D5" s="10" t="s">
        <v>935</v>
      </c>
      <c r="E5" s="8" t="s">
        <v>92</v>
      </c>
      <c r="F5" s="8" t="s">
        <v>83</v>
      </c>
      <c r="G5" s="10" t="s">
        <v>936</v>
      </c>
      <c r="H5" s="10" t="s">
        <v>937</v>
      </c>
      <c r="I5" s="7" t="n">
        <f aca="false">COUNTIF(タスク一覧!$H:$H,A5)</f>
        <v>1</v>
      </c>
    </row>
    <row r="6" customFormat="false" ht="15" hidden="false" customHeight="false" outlineLevel="0" collapsed="false">
      <c r="A6" s="10" t="s">
        <v>100</v>
      </c>
      <c r="B6" s="6" t="s">
        <v>21</v>
      </c>
      <c r="C6" s="10" t="s">
        <v>938</v>
      </c>
      <c r="D6" s="10" t="s">
        <v>939</v>
      </c>
      <c r="E6" s="8" t="s">
        <v>92</v>
      </c>
      <c r="F6" s="8" t="s">
        <v>83</v>
      </c>
      <c r="G6" s="10" t="s">
        <v>940</v>
      </c>
      <c r="H6" s="10" t="s">
        <v>941</v>
      </c>
      <c r="I6" s="7" t="n">
        <f aca="false">COUNTIF(タスク一覧!$H:$H,A6)</f>
        <v>1</v>
      </c>
    </row>
    <row r="7" customFormat="false" ht="15" hidden="false" customHeight="false" outlineLevel="0" collapsed="false">
      <c r="A7" s="10" t="s">
        <v>109</v>
      </c>
      <c r="B7" s="6" t="s">
        <v>21</v>
      </c>
      <c r="C7" s="10" t="s">
        <v>942</v>
      </c>
      <c r="D7" s="10" t="s">
        <v>943</v>
      </c>
      <c r="E7" s="8" t="s">
        <v>92</v>
      </c>
      <c r="F7" s="10" t="s">
        <v>111</v>
      </c>
      <c r="G7" s="10" t="s">
        <v>944</v>
      </c>
      <c r="H7" s="10" t="s">
        <v>108</v>
      </c>
      <c r="I7" s="7" t="n">
        <f aca="false">COUNTIF(タスク一覧!$H:$H,A7)</f>
        <v>1</v>
      </c>
    </row>
    <row r="8" customFormat="false" ht="15" hidden="false" customHeight="false" outlineLevel="0" collapsed="false">
      <c r="A8" s="10" t="s">
        <v>120</v>
      </c>
      <c r="B8" s="6" t="s">
        <v>21</v>
      </c>
      <c r="C8" s="10" t="s">
        <v>945</v>
      </c>
      <c r="D8" s="10" t="s">
        <v>946</v>
      </c>
      <c r="E8" s="8" t="s">
        <v>92</v>
      </c>
      <c r="F8" s="8" t="s">
        <v>83</v>
      </c>
      <c r="G8" s="10" t="s">
        <v>940</v>
      </c>
      <c r="H8" s="10" t="s">
        <v>947</v>
      </c>
      <c r="I8" s="7" t="n">
        <f aca="false">COUNTIF(タスク一覧!$H:$H,A8)</f>
        <v>1</v>
      </c>
    </row>
    <row r="9" customFormat="false" ht="15" hidden="false" customHeight="false" outlineLevel="0" collapsed="false">
      <c r="A9" s="8" t="s">
        <v>129</v>
      </c>
      <c r="B9" s="6" t="s">
        <v>21</v>
      </c>
      <c r="C9" s="10" t="s">
        <v>948</v>
      </c>
      <c r="D9" s="10" t="s">
        <v>949</v>
      </c>
      <c r="E9" s="8" t="s">
        <v>92</v>
      </c>
      <c r="F9" s="8" t="s">
        <v>83</v>
      </c>
      <c r="G9" s="10" t="s">
        <v>950</v>
      </c>
      <c r="H9" s="10" t="s">
        <v>128</v>
      </c>
      <c r="I9" s="7" t="n">
        <f aca="false">COUNTIF(タスク一覧!$H:$H,A9)</f>
        <v>1</v>
      </c>
    </row>
    <row r="10" customFormat="false" ht="15" hidden="false" customHeight="false" outlineLevel="0" collapsed="false">
      <c r="A10" s="10" t="s">
        <v>138</v>
      </c>
      <c r="B10" s="6" t="s">
        <v>21</v>
      </c>
      <c r="C10" s="10" t="s">
        <v>951</v>
      </c>
      <c r="D10" s="10" t="s">
        <v>952</v>
      </c>
      <c r="E10" s="8" t="s">
        <v>92</v>
      </c>
      <c r="F10" s="8" t="s">
        <v>83</v>
      </c>
      <c r="G10" s="10" t="s">
        <v>953</v>
      </c>
      <c r="H10" s="10" t="s">
        <v>137</v>
      </c>
      <c r="I10" s="7" t="n">
        <f aca="false">COUNTIF(タスク一覧!$H:$H,A10)</f>
        <v>1</v>
      </c>
    </row>
    <row r="11" customFormat="false" ht="15" hidden="false" customHeight="false" outlineLevel="0" collapsed="false">
      <c r="A11" s="10" t="s">
        <v>147</v>
      </c>
      <c r="B11" s="6" t="s">
        <v>21</v>
      </c>
      <c r="C11" s="10" t="s">
        <v>954</v>
      </c>
      <c r="D11" s="10" t="s">
        <v>955</v>
      </c>
      <c r="E11" s="8" t="s">
        <v>92</v>
      </c>
      <c r="F11" s="8" t="s">
        <v>83</v>
      </c>
      <c r="G11" s="10" t="s">
        <v>940</v>
      </c>
      <c r="H11" s="10" t="s">
        <v>146</v>
      </c>
      <c r="I11" s="7" t="n">
        <f aca="false">COUNTIF(タスク一覧!$H:$H,A11)</f>
        <v>1</v>
      </c>
    </row>
    <row r="12" customFormat="false" ht="15" hidden="false" customHeight="false" outlineLevel="0" collapsed="false">
      <c r="A12" s="10" t="s">
        <v>156</v>
      </c>
      <c r="B12" s="6" t="s">
        <v>21</v>
      </c>
      <c r="C12" s="10" t="s">
        <v>956</v>
      </c>
      <c r="D12" s="10" t="s">
        <v>957</v>
      </c>
      <c r="E12" s="8" t="s">
        <v>92</v>
      </c>
      <c r="F12" s="10" t="s">
        <v>111</v>
      </c>
      <c r="G12" s="10" t="s">
        <v>940</v>
      </c>
      <c r="H12" s="10" t="s">
        <v>155</v>
      </c>
      <c r="I12" s="7" t="n">
        <f aca="false">COUNTIF(タスク一覧!$H:$H,A12)</f>
        <v>1</v>
      </c>
    </row>
    <row r="13" customFormat="false" ht="15" hidden="false" customHeight="false" outlineLevel="0" collapsed="false">
      <c r="A13" s="8" t="s">
        <v>165</v>
      </c>
      <c r="B13" s="6" t="s">
        <v>21</v>
      </c>
      <c r="C13" s="10" t="s">
        <v>958</v>
      </c>
      <c r="D13" s="10" t="s">
        <v>959</v>
      </c>
      <c r="E13" s="8" t="s">
        <v>61</v>
      </c>
      <c r="F13" s="10" t="s">
        <v>62</v>
      </c>
      <c r="G13" s="10" t="s">
        <v>960</v>
      </c>
      <c r="H13" s="10" t="s">
        <v>164</v>
      </c>
      <c r="I13" s="7" t="n">
        <f aca="false">COUNTIF(タスク一覧!$H:$H,A13)</f>
        <v>1</v>
      </c>
    </row>
    <row r="14" customFormat="false" ht="15" hidden="false" customHeight="false" outlineLevel="0" collapsed="false">
      <c r="A14" s="10" t="s">
        <v>175</v>
      </c>
      <c r="B14" s="9" t="s">
        <v>23</v>
      </c>
      <c r="C14" s="10" t="s">
        <v>961</v>
      </c>
      <c r="D14" s="10" t="s">
        <v>962</v>
      </c>
      <c r="E14" s="8" t="s">
        <v>61</v>
      </c>
      <c r="F14" s="8" t="s">
        <v>83</v>
      </c>
      <c r="G14" s="10" t="s">
        <v>963</v>
      </c>
      <c r="H14" s="10" t="s">
        <v>174</v>
      </c>
      <c r="I14" s="7" t="n">
        <f aca="false">COUNTIF(タスク一覧!$H:$H,A14)</f>
        <v>1</v>
      </c>
    </row>
    <row r="15" customFormat="false" ht="15" hidden="false" customHeight="false" outlineLevel="0" collapsed="false">
      <c r="A15" s="10" t="s">
        <v>185</v>
      </c>
      <c r="B15" s="9" t="s">
        <v>23</v>
      </c>
      <c r="C15" s="10" t="s">
        <v>964</v>
      </c>
      <c r="D15" s="10" t="s">
        <v>965</v>
      </c>
      <c r="E15" s="8" t="s">
        <v>61</v>
      </c>
      <c r="F15" s="8" t="s">
        <v>83</v>
      </c>
      <c r="G15" s="10" t="s">
        <v>963</v>
      </c>
      <c r="H15" s="10" t="s">
        <v>184</v>
      </c>
      <c r="I15" s="7" t="n">
        <f aca="false">COUNTIF(タスク一覧!$H:$H,A15)</f>
        <v>1</v>
      </c>
    </row>
    <row r="16" customFormat="false" ht="15" hidden="false" customHeight="false" outlineLevel="0" collapsed="false">
      <c r="A16" s="10" t="s">
        <v>194</v>
      </c>
      <c r="B16" s="9" t="s">
        <v>23</v>
      </c>
      <c r="C16" s="10" t="s">
        <v>966</v>
      </c>
      <c r="D16" s="10" t="s">
        <v>967</v>
      </c>
      <c r="E16" s="8" t="s">
        <v>61</v>
      </c>
      <c r="F16" s="8" t="s">
        <v>83</v>
      </c>
      <c r="G16" s="10" t="s">
        <v>963</v>
      </c>
      <c r="H16" s="10" t="s">
        <v>193</v>
      </c>
      <c r="I16" s="7" t="n">
        <f aca="false">COUNTIF(タスク一覧!$H:$H,A16)</f>
        <v>1</v>
      </c>
    </row>
    <row r="17" customFormat="false" ht="15" hidden="false" customHeight="false" outlineLevel="0" collapsed="false">
      <c r="A17" s="8" t="s">
        <v>203</v>
      </c>
      <c r="B17" s="9" t="s">
        <v>23</v>
      </c>
      <c r="C17" s="10" t="s">
        <v>968</v>
      </c>
      <c r="D17" s="10" t="s">
        <v>969</v>
      </c>
      <c r="E17" s="10" t="s">
        <v>111</v>
      </c>
      <c r="F17" s="10" t="s">
        <v>111</v>
      </c>
      <c r="G17" s="10" t="s">
        <v>970</v>
      </c>
      <c r="H17" s="8" t="s">
        <v>971</v>
      </c>
      <c r="I17" s="7" t="n">
        <f aca="false">COUNTIF(タスク一覧!$H:$H,A17)</f>
        <v>3</v>
      </c>
    </row>
    <row r="18" customFormat="false" ht="15" hidden="false" customHeight="false" outlineLevel="0" collapsed="false">
      <c r="A18" s="10" t="s">
        <v>220</v>
      </c>
      <c r="B18" s="9" t="s">
        <v>23</v>
      </c>
      <c r="C18" s="10" t="s">
        <v>972</v>
      </c>
      <c r="D18" s="10" t="s">
        <v>973</v>
      </c>
      <c r="E18" s="8" t="s">
        <v>61</v>
      </c>
      <c r="F18" s="10" t="s">
        <v>111</v>
      </c>
      <c r="G18" s="10" t="s">
        <v>974</v>
      </c>
      <c r="H18" s="10" t="s">
        <v>975</v>
      </c>
      <c r="I18" s="7" t="n">
        <f aca="false">COUNTIF(タスク一覧!$H:$H,A18)</f>
        <v>1</v>
      </c>
    </row>
    <row r="19" customFormat="false" ht="15" hidden="false" customHeight="false" outlineLevel="0" collapsed="false">
      <c r="A19" s="10" t="s">
        <v>237</v>
      </c>
      <c r="B19" s="9" t="s">
        <v>23</v>
      </c>
      <c r="C19" s="10" t="s">
        <v>976</v>
      </c>
      <c r="D19" s="10" t="s">
        <v>977</v>
      </c>
      <c r="E19" s="8" t="s">
        <v>61</v>
      </c>
      <c r="F19" s="8" t="s">
        <v>83</v>
      </c>
      <c r="G19" s="10" t="s">
        <v>978</v>
      </c>
      <c r="H19" s="10" t="s">
        <v>236</v>
      </c>
      <c r="I19" s="7" t="n">
        <f aca="false">COUNTIF(タスク一覧!$H:$H,A19)</f>
        <v>1</v>
      </c>
    </row>
    <row r="20" customFormat="false" ht="15" hidden="false" customHeight="false" outlineLevel="0" collapsed="false">
      <c r="A20" s="10" t="s">
        <v>246</v>
      </c>
      <c r="B20" s="9" t="s">
        <v>23</v>
      </c>
      <c r="C20" s="10" t="s">
        <v>979</v>
      </c>
      <c r="D20" s="10" t="s">
        <v>980</v>
      </c>
      <c r="E20" s="8" t="s">
        <v>61</v>
      </c>
      <c r="F20" s="8" t="s">
        <v>83</v>
      </c>
      <c r="G20" s="10" t="s">
        <v>981</v>
      </c>
      <c r="H20" s="10" t="s">
        <v>245</v>
      </c>
      <c r="I20" s="7" t="n">
        <f aca="false">COUNTIF(タスク一覧!$H:$H,A20)</f>
        <v>1</v>
      </c>
    </row>
    <row r="21" customFormat="false" ht="15" hidden="false" customHeight="false" outlineLevel="0" collapsed="false">
      <c r="A21" s="10" t="s">
        <v>254</v>
      </c>
      <c r="B21" s="9" t="s">
        <v>23</v>
      </c>
      <c r="C21" s="10" t="s">
        <v>253</v>
      </c>
      <c r="D21" s="10" t="s">
        <v>982</v>
      </c>
      <c r="E21" s="8" t="s">
        <v>61</v>
      </c>
      <c r="F21" s="8" t="s">
        <v>83</v>
      </c>
      <c r="G21" s="10" t="s">
        <v>983</v>
      </c>
      <c r="H21" s="10" t="s">
        <v>254</v>
      </c>
      <c r="I21" s="7" t="n">
        <f aca="false">COUNTIF(タスク一覧!$H:$H,A21)</f>
        <v>1</v>
      </c>
    </row>
    <row r="22" customFormat="false" ht="15" hidden="false" customHeight="false" outlineLevel="0" collapsed="false">
      <c r="A22" s="10" t="s">
        <v>273</v>
      </c>
      <c r="B22" s="9" t="s">
        <v>23</v>
      </c>
      <c r="C22" s="10" t="s">
        <v>984</v>
      </c>
      <c r="D22" s="10" t="s">
        <v>985</v>
      </c>
      <c r="E22" s="8" t="s">
        <v>61</v>
      </c>
      <c r="F22" s="10" t="s">
        <v>62</v>
      </c>
      <c r="G22" s="10" t="s">
        <v>986</v>
      </c>
      <c r="H22" s="10" t="s">
        <v>984</v>
      </c>
      <c r="I22" s="7" t="n">
        <f aca="false">COUNTIF(タスク一覧!$H:$H,A22)</f>
        <v>1</v>
      </c>
    </row>
    <row r="23" customFormat="false" ht="15" hidden="false" customHeight="false" outlineLevel="0" collapsed="false">
      <c r="A23" s="10" t="s">
        <v>282</v>
      </c>
      <c r="B23" s="9" t="s">
        <v>23</v>
      </c>
      <c r="C23" s="10" t="s">
        <v>987</v>
      </c>
      <c r="D23" s="10" t="s">
        <v>988</v>
      </c>
      <c r="E23" s="8" t="s">
        <v>61</v>
      </c>
      <c r="F23" s="10" t="s">
        <v>111</v>
      </c>
      <c r="G23" s="10" t="s">
        <v>989</v>
      </c>
      <c r="H23" s="10" t="s">
        <v>281</v>
      </c>
      <c r="I23" s="7" t="n">
        <f aca="false">COUNTIF(タスク一覧!$H:$H,A23)</f>
        <v>1</v>
      </c>
    </row>
    <row r="24" customFormat="false" ht="15" hidden="false" customHeight="false" outlineLevel="0" collapsed="false">
      <c r="A24" s="8" t="s">
        <v>291</v>
      </c>
      <c r="B24" s="9" t="s">
        <v>23</v>
      </c>
      <c r="C24" s="10" t="s">
        <v>990</v>
      </c>
      <c r="D24" s="10" t="s">
        <v>991</v>
      </c>
      <c r="E24" s="8" t="s">
        <v>61</v>
      </c>
      <c r="F24" s="10" t="s">
        <v>111</v>
      </c>
      <c r="G24" s="10" t="s">
        <v>992</v>
      </c>
      <c r="H24" s="8" t="s">
        <v>290</v>
      </c>
      <c r="I24" s="7" t="n">
        <f aca="false">COUNTIF(タスク一覧!$H:$H,A24)</f>
        <v>1</v>
      </c>
    </row>
    <row r="25" customFormat="false" ht="15" hidden="false" customHeight="false" outlineLevel="0" collapsed="false">
      <c r="A25" s="10" t="s">
        <v>300</v>
      </c>
      <c r="B25" s="9" t="s">
        <v>23</v>
      </c>
      <c r="C25" s="10" t="s">
        <v>993</v>
      </c>
      <c r="D25" s="10" t="s">
        <v>994</v>
      </c>
      <c r="E25" s="8" t="s">
        <v>61</v>
      </c>
      <c r="F25" s="10" t="s">
        <v>62</v>
      </c>
      <c r="G25" s="10" t="s">
        <v>995</v>
      </c>
      <c r="H25" s="8" t="s">
        <v>996</v>
      </c>
      <c r="I25" s="7" t="n">
        <f aca="false">COUNTIF(タスク一覧!$H:$H,A25)</f>
        <v>1</v>
      </c>
    </row>
    <row r="26" customFormat="false" ht="15" hidden="false" customHeight="false" outlineLevel="0" collapsed="false">
      <c r="A26" s="10" t="s">
        <v>309</v>
      </c>
      <c r="B26" s="9" t="s">
        <v>23</v>
      </c>
      <c r="C26" s="10" t="s">
        <v>997</v>
      </c>
      <c r="D26" s="10" t="s">
        <v>998</v>
      </c>
      <c r="E26" s="8" t="s">
        <v>61</v>
      </c>
      <c r="F26" s="10" t="s">
        <v>62</v>
      </c>
      <c r="G26" s="10" t="s">
        <v>999</v>
      </c>
      <c r="H26" s="10" t="s">
        <v>1000</v>
      </c>
      <c r="I26" s="7" t="n">
        <f aca="false">COUNTIF(タスク一覧!$H:$H,A26)</f>
        <v>1</v>
      </c>
    </row>
    <row r="27" customFormat="false" ht="15" hidden="false" customHeight="false" outlineLevel="0" collapsed="false">
      <c r="A27" s="10" t="s">
        <v>327</v>
      </c>
      <c r="B27" s="9" t="s">
        <v>23</v>
      </c>
      <c r="C27" s="10" t="s">
        <v>1001</v>
      </c>
      <c r="D27" s="10" t="s">
        <v>1002</v>
      </c>
      <c r="E27" s="8" t="s">
        <v>61</v>
      </c>
      <c r="F27" s="8" t="s">
        <v>83</v>
      </c>
      <c r="G27" s="10" t="s">
        <v>1003</v>
      </c>
      <c r="H27" s="10" t="s">
        <v>326</v>
      </c>
      <c r="I27" s="7" t="n">
        <f aca="false">COUNTIF(タスク一覧!$H:$H,A27)</f>
        <v>1</v>
      </c>
    </row>
    <row r="28" customFormat="false" ht="26.85" hidden="false" customHeight="false" outlineLevel="0" collapsed="false">
      <c r="A28" s="10" t="s">
        <v>318</v>
      </c>
      <c r="B28" s="9" t="s">
        <v>23</v>
      </c>
      <c r="C28" s="10" t="s">
        <v>1004</v>
      </c>
      <c r="D28" s="10" t="s">
        <v>1005</v>
      </c>
      <c r="E28" s="8" t="s">
        <v>61</v>
      </c>
      <c r="F28" s="10" t="s">
        <v>62</v>
      </c>
      <c r="G28" s="10" t="s">
        <v>1006</v>
      </c>
      <c r="H28" s="10" t="s">
        <v>1007</v>
      </c>
      <c r="I28" s="7" t="n">
        <f aca="false">COUNTIF(タスク一覧!$H:$H,A28)</f>
        <v>3</v>
      </c>
    </row>
    <row r="29" customFormat="false" ht="15" hidden="false" customHeight="false" outlineLevel="0" collapsed="false">
      <c r="A29" s="10" t="s">
        <v>352</v>
      </c>
      <c r="B29" s="9" t="s">
        <v>23</v>
      </c>
      <c r="C29" s="10" t="s">
        <v>1008</v>
      </c>
      <c r="D29" s="10" t="s">
        <v>1009</v>
      </c>
      <c r="E29" s="8" t="s">
        <v>61</v>
      </c>
      <c r="F29" s="10" t="s">
        <v>62</v>
      </c>
      <c r="G29" s="10" t="s">
        <v>1010</v>
      </c>
      <c r="H29" s="10" t="s">
        <v>351</v>
      </c>
      <c r="I29" s="7" t="n">
        <f aca="false">COUNTIF(タスク一覧!$H:$H,A29)</f>
        <v>1</v>
      </c>
    </row>
    <row r="30" customFormat="false" ht="15" hidden="false" customHeight="false" outlineLevel="0" collapsed="false">
      <c r="A30" s="10" t="s">
        <v>372</v>
      </c>
      <c r="B30" s="11" t="s">
        <v>25</v>
      </c>
      <c r="C30" s="10" t="s">
        <v>1011</v>
      </c>
      <c r="D30" s="10" t="s">
        <v>1012</v>
      </c>
      <c r="E30" s="8" t="s">
        <v>61</v>
      </c>
      <c r="F30" s="10" t="s">
        <v>111</v>
      </c>
      <c r="G30" s="10" t="s">
        <v>1013</v>
      </c>
      <c r="H30" s="10" t="s">
        <v>1014</v>
      </c>
      <c r="I30" s="7" t="n">
        <f aca="false">COUNTIF(タスク一覧!$H:$H,A30)</f>
        <v>2</v>
      </c>
    </row>
    <row r="31" customFormat="false" ht="15" hidden="false" customHeight="false" outlineLevel="0" collapsed="false">
      <c r="A31" s="10" t="s">
        <v>389</v>
      </c>
      <c r="B31" s="11" t="s">
        <v>25</v>
      </c>
      <c r="C31" s="10" t="s">
        <v>1015</v>
      </c>
      <c r="D31" s="10" t="s">
        <v>1016</v>
      </c>
      <c r="E31" s="8" t="s">
        <v>92</v>
      </c>
      <c r="F31" s="10" t="s">
        <v>111</v>
      </c>
      <c r="G31" s="10" t="s">
        <v>1017</v>
      </c>
      <c r="H31" s="10" t="s">
        <v>1018</v>
      </c>
      <c r="I31" s="7" t="n">
        <f aca="false">COUNTIF(タスク一覧!$H:$H,A31)</f>
        <v>1</v>
      </c>
    </row>
    <row r="32" customFormat="false" ht="15" hidden="false" customHeight="false" outlineLevel="0" collapsed="false">
      <c r="A32" s="10" t="s">
        <v>398</v>
      </c>
      <c r="B32" s="11" t="s">
        <v>25</v>
      </c>
      <c r="C32" s="10" t="s">
        <v>1019</v>
      </c>
      <c r="D32" s="10" t="s">
        <v>1020</v>
      </c>
      <c r="E32" s="8" t="s">
        <v>92</v>
      </c>
      <c r="F32" s="8" t="s">
        <v>83</v>
      </c>
      <c r="G32" s="10" t="s">
        <v>1021</v>
      </c>
      <c r="H32" s="10" t="s">
        <v>1022</v>
      </c>
      <c r="I32" s="7" t="n">
        <f aca="false">COUNTIF(タスク一覧!$H:$H,A32)</f>
        <v>1</v>
      </c>
    </row>
    <row r="33" customFormat="false" ht="15" hidden="false" customHeight="false" outlineLevel="0" collapsed="false">
      <c r="A33" s="10" t="s">
        <v>407</v>
      </c>
      <c r="B33" s="11" t="s">
        <v>25</v>
      </c>
      <c r="C33" s="10" t="s">
        <v>1023</v>
      </c>
      <c r="D33" s="10" t="s">
        <v>1024</v>
      </c>
      <c r="E33" s="8" t="s">
        <v>92</v>
      </c>
      <c r="F33" s="10" t="s">
        <v>111</v>
      </c>
      <c r="G33" s="10" t="s">
        <v>1025</v>
      </c>
      <c r="H33" s="10" t="s">
        <v>1026</v>
      </c>
      <c r="I33" s="7" t="n">
        <f aca="false">COUNTIF(タスク一覧!$H:$H,A33)</f>
        <v>1</v>
      </c>
    </row>
    <row r="34" customFormat="false" ht="15" hidden="false" customHeight="false" outlineLevel="0" collapsed="false">
      <c r="A34" s="8" t="s">
        <v>416</v>
      </c>
      <c r="B34" s="11" t="s">
        <v>25</v>
      </c>
      <c r="C34" s="10" t="s">
        <v>1027</v>
      </c>
      <c r="D34" s="10" t="s">
        <v>1028</v>
      </c>
      <c r="E34" s="8" t="s">
        <v>92</v>
      </c>
      <c r="F34" s="10" t="s">
        <v>418</v>
      </c>
      <c r="G34" s="10" t="s">
        <v>1029</v>
      </c>
      <c r="H34" s="8" t="s">
        <v>415</v>
      </c>
      <c r="I34" s="7" t="n">
        <f aca="false">COUNTIF(タスク一覧!$H:$H,A34)</f>
        <v>1</v>
      </c>
    </row>
    <row r="35" customFormat="false" ht="26.85" hidden="false" customHeight="false" outlineLevel="0" collapsed="false">
      <c r="A35" s="10" t="s">
        <v>426</v>
      </c>
      <c r="B35" s="11" t="s">
        <v>25</v>
      </c>
      <c r="C35" s="10" t="s">
        <v>1030</v>
      </c>
      <c r="D35" s="10" t="s">
        <v>1031</v>
      </c>
      <c r="E35" s="8" t="s">
        <v>92</v>
      </c>
      <c r="F35" s="10" t="s">
        <v>111</v>
      </c>
      <c r="G35" s="10" t="s">
        <v>1032</v>
      </c>
      <c r="H35" s="10" t="s">
        <v>425</v>
      </c>
      <c r="I35" s="7" t="n">
        <f aca="false">COUNTIF(タスク一覧!$H:$H,A35)</f>
        <v>1</v>
      </c>
    </row>
    <row r="36" customFormat="false" ht="15" hidden="false" customHeight="false" outlineLevel="0" collapsed="false">
      <c r="A36" s="10" t="s">
        <v>443</v>
      </c>
      <c r="B36" s="11" t="s">
        <v>25</v>
      </c>
      <c r="C36" s="10" t="s">
        <v>1033</v>
      </c>
      <c r="D36" s="10" t="s">
        <v>1034</v>
      </c>
      <c r="E36" s="8" t="s">
        <v>61</v>
      </c>
      <c r="F36" s="10" t="s">
        <v>111</v>
      </c>
      <c r="G36" s="10" t="s">
        <v>1035</v>
      </c>
      <c r="H36" s="10" t="s">
        <v>443</v>
      </c>
      <c r="I36" s="7" t="n">
        <f aca="false">COUNTIF(タスク一覧!$H:$H,A36)</f>
        <v>1</v>
      </c>
    </row>
    <row r="37" customFormat="false" ht="26.85" hidden="false" customHeight="false" outlineLevel="0" collapsed="false">
      <c r="A37" s="10" t="s">
        <v>452</v>
      </c>
      <c r="B37" s="11" t="s">
        <v>25</v>
      </c>
      <c r="C37" s="10" t="s">
        <v>1036</v>
      </c>
      <c r="D37" s="8" t="s">
        <v>1037</v>
      </c>
      <c r="E37" s="8" t="s">
        <v>61</v>
      </c>
      <c r="F37" s="10" t="s">
        <v>111</v>
      </c>
      <c r="G37" s="10" t="s">
        <v>1038</v>
      </c>
      <c r="H37" s="8" t="s">
        <v>1039</v>
      </c>
      <c r="I37" s="7" t="n">
        <f aca="false">COUNTIF(タスク一覧!$H:$H,A37)</f>
        <v>1</v>
      </c>
    </row>
    <row r="38" customFormat="false" ht="26.85" hidden="false" customHeight="false" outlineLevel="0" collapsed="false">
      <c r="A38" s="10" t="s">
        <v>435</v>
      </c>
      <c r="B38" s="11" t="s">
        <v>25</v>
      </c>
      <c r="C38" s="10" t="s">
        <v>1040</v>
      </c>
      <c r="D38" s="10" t="s">
        <v>1041</v>
      </c>
      <c r="E38" s="8" t="s">
        <v>61</v>
      </c>
      <c r="F38" s="10" t="s">
        <v>62</v>
      </c>
      <c r="G38" s="10" t="s">
        <v>1042</v>
      </c>
      <c r="H38" s="10" t="s">
        <v>460</v>
      </c>
      <c r="I38" s="7" t="n">
        <f aca="false">COUNTIF(タスク一覧!$H:$H,A38)</f>
        <v>2</v>
      </c>
    </row>
    <row r="39" customFormat="false" ht="15" hidden="false" customHeight="false" outlineLevel="0" collapsed="false">
      <c r="A39" s="10" t="s">
        <v>470</v>
      </c>
      <c r="B39" s="12" t="s">
        <v>27</v>
      </c>
      <c r="C39" s="10" t="s">
        <v>1043</v>
      </c>
      <c r="D39" s="10" t="s">
        <v>1044</v>
      </c>
      <c r="E39" s="8" t="s">
        <v>61</v>
      </c>
      <c r="F39" s="10" t="s">
        <v>62</v>
      </c>
      <c r="G39" s="10" t="s">
        <v>1045</v>
      </c>
      <c r="H39" s="10" t="s">
        <v>469</v>
      </c>
      <c r="I39" s="7" t="n">
        <f aca="false">COUNTIF(タスク一覧!$H:$H,A39)</f>
        <v>1</v>
      </c>
    </row>
    <row r="40" customFormat="false" ht="15" hidden="false" customHeight="false" outlineLevel="0" collapsed="false">
      <c r="A40" s="8" t="s">
        <v>480</v>
      </c>
      <c r="B40" s="12" t="s">
        <v>27</v>
      </c>
      <c r="C40" s="10" t="s">
        <v>1046</v>
      </c>
      <c r="D40" s="10" t="s">
        <v>1047</v>
      </c>
      <c r="E40" s="8" t="s">
        <v>92</v>
      </c>
      <c r="F40" s="8" t="s">
        <v>83</v>
      </c>
      <c r="G40" s="10" t="s">
        <v>1045</v>
      </c>
      <c r="H40" s="8" t="s">
        <v>1048</v>
      </c>
      <c r="I40" s="7" t="n">
        <f aca="false">COUNTIF(タスク一覧!$H:$H,A40)</f>
        <v>1</v>
      </c>
    </row>
    <row r="41" customFormat="false" ht="15" hidden="false" customHeight="false" outlineLevel="0" collapsed="false">
      <c r="A41" s="8" t="s">
        <v>489</v>
      </c>
      <c r="B41" s="12" t="s">
        <v>27</v>
      </c>
      <c r="C41" s="10" t="s">
        <v>1049</v>
      </c>
      <c r="D41" s="10" t="s">
        <v>1050</v>
      </c>
      <c r="E41" s="8" t="s">
        <v>61</v>
      </c>
      <c r="F41" s="10" t="s">
        <v>491</v>
      </c>
      <c r="G41" s="8" t="s">
        <v>1051</v>
      </c>
      <c r="H41" s="8" t="s">
        <v>1052</v>
      </c>
      <c r="I41" s="7" t="n">
        <f aca="false">COUNTIF(タスク一覧!$H:$H,A41)</f>
        <v>1</v>
      </c>
    </row>
    <row r="42" customFormat="false" ht="15" hidden="false" customHeight="false" outlineLevel="0" collapsed="false">
      <c r="A42" s="8" t="s">
        <v>499</v>
      </c>
      <c r="B42" s="12" t="s">
        <v>27</v>
      </c>
      <c r="C42" s="8" t="s">
        <v>1053</v>
      </c>
      <c r="D42" s="10" t="s">
        <v>1054</v>
      </c>
      <c r="E42" s="8" t="s">
        <v>92</v>
      </c>
      <c r="F42" s="8" t="s">
        <v>61</v>
      </c>
      <c r="G42" s="10" t="s">
        <v>1055</v>
      </c>
      <c r="H42" s="8" t="s">
        <v>498</v>
      </c>
      <c r="I42" s="7" t="n">
        <f aca="false">COUNTIF(タスク一覧!$H:$H,A42)</f>
        <v>1</v>
      </c>
    </row>
    <row r="43" customFormat="false" ht="15" hidden="false" customHeight="false" outlineLevel="0" collapsed="false">
      <c r="A43" s="10" t="s">
        <v>518</v>
      </c>
      <c r="B43" s="12" t="s">
        <v>27</v>
      </c>
      <c r="C43" s="10" t="s">
        <v>1056</v>
      </c>
      <c r="D43" s="10" t="s">
        <v>1057</v>
      </c>
      <c r="E43" s="8" t="s">
        <v>61</v>
      </c>
      <c r="F43" s="10" t="s">
        <v>491</v>
      </c>
      <c r="G43" s="10" t="s">
        <v>1058</v>
      </c>
      <c r="H43" s="10" t="s">
        <v>517</v>
      </c>
      <c r="I43" s="7" t="n">
        <f aca="false">COUNTIF(タスク一覧!$H:$H,A43)</f>
        <v>1</v>
      </c>
    </row>
    <row r="44" customFormat="false" ht="15" hidden="false" customHeight="false" outlineLevel="0" collapsed="false">
      <c r="A44" s="10" t="s">
        <v>527</v>
      </c>
      <c r="B44" s="12" t="s">
        <v>27</v>
      </c>
      <c r="C44" s="10" t="s">
        <v>1059</v>
      </c>
      <c r="D44" s="10" t="s">
        <v>1060</v>
      </c>
      <c r="E44" s="8" t="s">
        <v>92</v>
      </c>
      <c r="F44" s="8" t="s">
        <v>83</v>
      </c>
      <c r="G44" s="10" t="s">
        <v>1061</v>
      </c>
      <c r="H44" s="10" t="s">
        <v>1062</v>
      </c>
      <c r="I44" s="7" t="n">
        <f aca="false">COUNTIF(タスク一覧!$H:$H,A44)</f>
        <v>2</v>
      </c>
    </row>
    <row r="45" customFormat="false" ht="15" hidden="false" customHeight="false" outlineLevel="0" collapsed="false">
      <c r="A45" s="8" t="s">
        <v>545</v>
      </c>
      <c r="B45" s="12" t="s">
        <v>27</v>
      </c>
      <c r="C45" s="10" t="s">
        <v>1063</v>
      </c>
      <c r="D45" s="10" t="s">
        <v>1064</v>
      </c>
      <c r="E45" s="8" t="s">
        <v>61</v>
      </c>
      <c r="F45" s="8" t="s">
        <v>83</v>
      </c>
      <c r="G45" s="10" t="s">
        <v>1061</v>
      </c>
      <c r="H45" s="8" t="s">
        <v>1065</v>
      </c>
      <c r="I45" s="7" t="n">
        <f aca="false">COUNTIF(タスク一覧!$H:$H,A45)</f>
        <v>1</v>
      </c>
    </row>
    <row r="46" customFormat="false" ht="15" hidden="false" customHeight="false" outlineLevel="0" collapsed="false">
      <c r="A46" s="10" t="s">
        <v>554</v>
      </c>
      <c r="B46" s="12" t="s">
        <v>27</v>
      </c>
      <c r="C46" s="10" t="s">
        <v>1066</v>
      </c>
      <c r="D46" s="10" t="s">
        <v>1067</v>
      </c>
      <c r="E46" s="8" t="s">
        <v>61</v>
      </c>
      <c r="F46" s="10" t="s">
        <v>62</v>
      </c>
      <c r="G46" s="10" t="s">
        <v>1068</v>
      </c>
      <c r="H46" s="10" t="s">
        <v>553</v>
      </c>
      <c r="I46" s="7" t="n">
        <f aca="false">COUNTIF(タスク一覧!$H:$H,A46)</f>
        <v>1</v>
      </c>
    </row>
    <row r="47" customFormat="false" ht="26.85" hidden="false" customHeight="false" outlineLevel="0" collapsed="false">
      <c r="A47" s="10" t="s">
        <v>563</v>
      </c>
      <c r="B47" s="12" t="s">
        <v>27</v>
      </c>
      <c r="C47" s="10" t="s">
        <v>1069</v>
      </c>
      <c r="D47" s="10" t="s">
        <v>1070</v>
      </c>
      <c r="E47" s="10" t="s">
        <v>418</v>
      </c>
      <c r="F47" s="10" t="s">
        <v>62</v>
      </c>
      <c r="G47" s="10" t="s">
        <v>1071</v>
      </c>
      <c r="H47" s="10" t="s">
        <v>1072</v>
      </c>
      <c r="I47" s="7" t="n">
        <f aca="false">COUNTIF(タスク一覧!$H:$H,A47)</f>
        <v>2</v>
      </c>
    </row>
    <row r="48" customFormat="false" ht="15" hidden="false" customHeight="false" outlineLevel="0" collapsed="false">
      <c r="A48" s="10" t="s">
        <v>581</v>
      </c>
      <c r="B48" s="13" t="s">
        <v>29</v>
      </c>
      <c r="C48" s="10" t="s">
        <v>1073</v>
      </c>
      <c r="D48" s="10" t="s">
        <v>1074</v>
      </c>
      <c r="E48" s="10" t="s">
        <v>583</v>
      </c>
      <c r="F48" s="10" t="s">
        <v>111</v>
      </c>
      <c r="G48" s="10" t="s">
        <v>1075</v>
      </c>
      <c r="H48" s="10" t="s">
        <v>1076</v>
      </c>
      <c r="I48" s="7" t="n">
        <f aca="false">COUNTIF(タスク一覧!$H:$H,A48)</f>
        <v>4</v>
      </c>
    </row>
    <row r="49" customFormat="false" ht="15" hidden="false" customHeight="false" outlineLevel="0" collapsed="false">
      <c r="A49" s="10" t="s">
        <v>609</v>
      </c>
      <c r="B49" s="13" t="s">
        <v>29</v>
      </c>
      <c r="C49" s="10" t="s">
        <v>1077</v>
      </c>
      <c r="D49" s="10" t="s">
        <v>1078</v>
      </c>
      <c r="E49" s="8" t="s">
        <v>61</v>
      </c>
      <c r="F49" s="10" t="s">
        <v>111</v>
      </c>
      <c r="G49" s="10" t="s">
        <v>1079</v>
      </c>
      <c r="H49" s="10" t="s">
        <v>608</v>
      </c>
      <c r="I49" s="7" t="n">
        <f aca="false">COUNTIF(タスク一覧!$H:$H,A49)</f>
        <v>1</v>
      </c>
    </row>
    <row r="50" customFormat="false" ht="15" hidden="false" customHeight="false" outlineLevel="0" collapsed="false">
      <c r="A50" s="10" t="s">
        <v>618</v>
      </c>
      <c r="B50" s="13" t="s">
        <v>29</v>
      </c>
      <c r="C50" s="10" t="s">
        <v>1080</v>
      </c>
      <c r="D50" s="10" t="s">
        <v>619</v>
      </c>
      <c r="E50" s="10" t="s">
        <v>583</v>
      </c>
      <c r="F50" s="10" t="s">
        <v>111</v>
      </c>
      <c r="G50" s="10" t="s">
        <v>1081</v>
      </c>
      <c r="H50" s="10" t="s">
        <v>617</v>
      </c>
      <c r="I50" s="7" t="n">
        <f aca="false">COUNTIF(タスク一覧!$H:$H,A50)</f>
        <v>1</v>
      </c>
    </row>
    <row r="51" customFormat="false" ht="26.85" hidden="false" customHeight="false" outlineLevel="0" collapsed="false">
      <c r="A51" s="8" t="s">
        <v>636</v>
      </c>
      <c r="B51" s="14" t="s">
        <v>31</v>
      </c>
      <c r="C51" s="10" t="s">
        <v>1082</v>
      </c>
      <c r="D51" s="10" t="s">
        <v>1083</v>
      </c>
      <c r="E51" s="8" t="s">
        <v>61</v>
      </c>
      <c r="F51" s="8" t="s">
        <v>83</v>
      </c>
      <c r="G51" s="10" t="s">
        <v>1084</v>
      </c>
      <c r="H51" s="8" t="s">
        <v>1085</v>
      </c>
      <c r="I51" s="7" t="n">
        <f aca="false">COUNTIF(タスク一覧!$H:$H,A51)</f>
        <v>2</v>
      </c>
    </row>
    <row r="52" customFormat="false" ht="15" hidden="false" customHeight="false" outlineLevel="0" collapsed="false">
      <c r="A52" s="10" t="s">
        <v>654</v>
      </c>
      <c r="B52" s="14" t="s">
        <v>31</v>
      </c>
      <c r="C52" s="10" t="s">
        <v>1086</v>
      </c>
      <c r="D52" s="10" t="s">
        <v>1087</v>
      </c>
      <c r="E52" s="8" t="s">
        <v>61</v>
      </c>
      <c r="F52" s="8" t="s">
        <v>83</v>
      </c>
      <c r="G52" s="10" t="s">
        <v>1084</v>
      </c>
      <c r="H52" s="10" t="s">
        <v>1088</v>
      </c>
      <c r="I52" s="7" t="n">
        <f aca="false">COUNTIF(タスク一覧!$H:$H,A52)</f>
        <v>2</v>
      </c>
    </row>
    <row r="53" customFormat="false" ht="15" hidden="false" customHeight="false" outlineLevel="0" collapsed="false">
      <c r="A53" s="10" t="s">
        <v>663</v>
      </c>
      <c r="B53" s="14" t="s">
        <v>31</v>
      </c>
      <c r="C53" s="10" t="s">
        <v>1089</v>
      </c>
      <c r="D53" s="10" t="s">
        <v>1090</v>
      </c>
      <c r="E53" s="8" t="s">
        <v>61</v>
      </c>
      <c r="F53" s="8" t="s">
        <v>83</v>
      </c>
      <c r="G53" s="10" t="s">
        <v>1084</v>
      </c>
      <c r="H53" s="10" t="s">
        <v>662</v>
      </c>
      <c r="I53" s="7" t="n">
        <f aca="false">COUNTIF(タスク一覧!$H:$H,A53)</f>
        <v>1</v>
      </c>
    </row>
    <row r="54" customFormat="false" ht="15" hidden="false" customHeight="false" outlineLevel="0" collapsed="false">
      <c r="A54" s="10" t="s">
        <v>671</v>
      </c>
      <c r="B54" s="14" t="s">
        <v>31</v>
      </c>
      <c r="C54" s="10" t="s">
        <v>1091</v>
      </c>
      <c r="D54" s="10" t="s">
        <v>1092</v>
      </c>
      <c r="E54" s="8" t="s">
        <v>61</v>
      </c>
      <c r="F54" s="8" t="s">
        <v>83</v>
      </c>
      <c r="G54" s="10" t="s">
        <v>1093</v>
      </c>
      <c r="H54" s="10" t="s">
        <v>671</v>
      </c>
      <c r="I54" s="7" t="n">
        <f aca="false">COUNTIF(タスク一覧!$H:$H,A54)</f>
        <v>1</v>
      </c>
    </row>
    <row r="55" customFormat="false" ht="15" hidden="false" customHeight="false" outlineLevel="0" collapsed="false">
      <c r="A55" s="10" t="s">
        <v>680</v>
      </c>
      <c r="B55" s="14" t="s">
        <v>31</v>
      </c>
      <c r="C55" s="10" t="s">
        <v>1094</v>
      </c>
      <c r="D55" s="10" t="s">
        <v>1095</v>
      </c>
      <c r="E55" s="8" t="s">
        <v>61</v>
      </c>
      <c r="F55" s="10" t="s">
        <v>491</v>
      </c>
      <c r="G55" s="10" t="s">
        <v>1096</v>
      </c>
      <c r="H55" s="10" t="s">
        <v>679</v>
      </c>
      <c r="I55" s="7" t="n">
        <f aca="false">COUNTIF(タスク一覧!$H:$H,A55)</f>
        <v>1</v>
      </c>
    </row>
    <row r="56" customFormat="false" ht="15" hidden="false" customHeight="false" outlineLevel="0" collapsed="false">
      <c r="A56" s="10" t="s">
        <v>706</v>
      </c>
      <c r="B56" s="9" t="s">
        <v>33</v>
      </c>
      <c r="C56" s="10" t="s">
        <v>1097</v>
      </c>
      <c r="D56" s="10" t="s">
        <v>1098</v>
      </c>
      <c r="E56" s="10" t="s">
        <v>708</v>
      </c>
      <c r="F56" s="8" t="s">
        <v>61</v>
      </c>
      <c r="G56" s="10" t="s">
        <v>1099</v>
      </c>
      <c r="H56" s="10" t="s">
        <v>706</v>
      </c>
      <c r="I56" s="7" t="n">
        <f aca="false">COUNTIF(タスク一覧!$H:$H,A56)</f>
        <v>1</v>
      </c>
    </row>
    <row r="57" customFormat="false" ht="15" hidden="false" customHeight="false" outlineLevel="0" collapsed="false">
      <c r="A57" s="10" t="s">
        <v>717</v>
      </c>
      <c r="B57" s="9" t="s">
        <v>33</v>
      </c>
      <c r="C57" s="10" t="s">
        <v>1100</v>
      </c>
      <c r="D57" s="10" t="s">
        <v>1101</v>
      </c>
      <c r="E57" s="8" t="s">
        <v>92</v>
      </c>
      <c r="F57" s="10" t="s">
        <v>111</v>
      </c>
      <c r="G57" s="10" t="s">
        <v>1102</v>
      </c>
      <c r="H57" s="10" t="s">
        <v>1103</v>
      </c>
      <c r="I57" s="7" t="n">
        <f aca="false">COUNTIF(タスク一覧!$H:$H,A57)</f>
        <v>1</v>
      </c>
    </row>
    <row r="58" customFormat="false" ht="15" hidden="false" customHeight="false" outlineLevel="0" collapsed="false">
      <c r="A58" s="10" t="s">
        <v>726</v>
      </c>
      <c r="B58" s="9" t="s">
        <v>33</v>
      </c>
      <c r="C58" s="10" t="s">
        <v>1104</v>
      </c>
      <c r="D58" s="8" t="s">
        <v>1105</v>
      </c>
      <c r="E58" s="8" t="s">
        <v>92</v>
      </c>
      <c r="F58" s="8" t="s">
        <v>61</v>
      </c>
      <c r="G58" s="10" t="s">
        <v>1106</v>
      </c>
      <c r="H58" s="10" t="s">
        <v>725</v>
      </c>
      <c r="I58" s="7" t="n">
        <f aca="false">COUNTIF(タスク一覧!$H:$H,A58)</f>
        <v>1</v>
      </c>
    </row>
    <row r="59" customFormat="false" ht="15" hidden="false" customHeight="false" outlineLevel="0" collapsed="false">
      <c r="A59" s="10" t="s">
        <v>743</v>
      </c>
      <c r="B59" s="9" t="s">
        <v>33</v>
      </c>
      <c r="C59" s="10" t="s">
        <v>1107</v>
      </c>
      <c r="D59" s="10" t="s">
        <v>1108</v>
      </c>
      <c r="E59" s="10" t="s">
        <v>583</v>
      </c>
      <c r="F59" s="8" t="s">
        <v>61</v>
      </c>
      <c r="G59" s="10" t="s">
        <v>1109</v>
      </c>
      <c r="H59" s="10" t="s">
        <v>742</v>
      </c>
      <c r="I59" s="7" t="n">
        <f aca="false">COUNTIF(タスク一覧!$H:$H,A59)</f>
        <v>1</v>
      </c>
    </row>
    <row r="60" customFormat="false" ht="15" hidden="false" customHeight="false" outlineLevel="0" collapsed="false">
      <c r="A60" s="8" t="s">
        <v>752</v>
      </c>
      <c r="B60" s="9" t="s">
        <v>33</v>
      </c>
      <c r="C60" s="10" t="s">
        <v>1110</v>
      </c>
      <c r="D60" s="10" t="s">
        <v>1111</v>
      </c>
      <c r="E60" s="10" t="s">
        <v>111</v>
      </c>
      <c r="F60" s="10" t="s">
        <v>111</v>
      </c>
      <c r="G60" s="8" t="s">
        <v>1112</v>
      </c>
      <c r="H60" s="8" t="s">
        <v>751</v>
      </c>
      <c r="I60" s="7" t="n">
        <f aca="false">COUNTIF(タスク一覧!$H:$H,A60)</f>
        <v>1</v>
      </c>
    </row>
    <row r="61" customFormat="false" ht="15" hidden="false" customHeight="false" outlineLevel="0" collapsed="false">
      <c r="A61" s="10" t="s">
        <v>762</v>
      </c>
      <c r="B61" s="11" t="s">
        <v>35</v>
      </c>
      <c r="C61" s="10" t="s">
        <v>1113</v>
      </c>
      <c r="D61" s="10" t="s">
        <v>1114</v>
      </c>
      <c r="E61" s="8" t="s">
        <v>61</v>
      </c>
      <c r="F61" s="10" t="s">
        <v>62</v>
      </c>
      <c r="G61" s="8" t="s">
        <v>1115</v>
      </c>
      <c r="H61" s="10" t="s">
        <v>1116</v>
      </c>
      <c r="I61" s="7" t="n">
        <f aca="false">COUNTIF(タスク一覧!$H:$H,A61)</f>
        <v>1</v>
      </c>
    </row>
    <row r="62" customFormat="false" ht="15" hidden="false" customHeight="false" outlineLevel="0" collapsed="false">
      <c r="A62" s="10" t="s">
        <v>772</v>
      </c>
      <c r="B62" s="11" t="s">
        <v>35</v>
      </c>
      <c r="C62" s="10" t="s">
        <v>1117</v>
      </c>
      <c r="D62" s="10" t="s">
        <v>1118</v>
      </c>
      <c r="E62" s="8" t="s">
        <v>61</v>
      </c>
      <c r="F62" s="10" t="s">
        <v>111</v>
      </c>
      <c r="G62" s="10" t="s">
        <v>1119</v>
      </c>
      <c r="H62" s="10" t="s">
        <v>1120</v>
      </c>
      <c r="I62" s="7" t="n">
        <f aca="false">COUNTIF(タスク一覧!$H:$H,A62)</f>
        <v>1</v>
      </c>
    </row>
    <row r="63" customFormat="false" ht="15" hidden="false" customHeight="false" outlineLevel="0" collapsed="false">
      <c r="A63" s="10" t="s">
        <v>781</v>
      </c>
      <c r="B63" s="11" t="s">
        <v>35</v>
      </c>
      <c r="C63" s="10" t="s">
        <v>1121</v>
      </c>
      <c r="D63" s="10" t="s">
        <v>1122</v>
      </c>
      <c r="E63" s="8" t="s">
        <v>61</v>
      </c>
      <c r="F63" s="8" t="s">
        <v>83</v>
      </c>
      <c r="G63" s="10" t="s">
        <v>1119</v>
      </c>
      <c r="H63" s="10" t="s">
        <v>780</v>
      </c>
      <c r="I63" s="7" t="n">
        <f aca="false">COUNTIF(タスク一覧!$H:$H,A63)</f>
        <v>1</v>
      </c>
    </row>
    <row r="64" customFormat="false" ht="15" hidden="false" customHeight="false" outlineLevel="0" collapsed="false">
      <c r="A64" s="10" t="s">
        <v>790</v>
      </c>
      <c r="B64" s="11" t="s">
        <v>35</v>
      </c>
      <c r="C64" s="10" t="s">
        <v>1123</v>
      </c>
      <c r="D64" s="10" t="s">
        <v>1124</v>
      </c>
      <c r="E64" s="10" t="s">
        <v>792</v>
      </c>
      <c r="F64" s="8" t="s">
        <v>61</v>
      </c>
      <c r="G64" s="10" t="s">
        <v>1125</v>
      </c>
      <c r="H64" s="10" t="s">
        <v>1126</v>
      </c>
      <c r="I64" s="7" t="n">
        <f aca="false">COUNTIF(タスク一覧!$H:$H,A64)</f>
        <v>1</v>
      </c>
    </row>
    <row r="65" customFormat="false" ht="15" hidden="false" customHeight="false" outlineLevel="0" collapsed="false">
      <c r="A65" s="10" t="s">
        <v>800</v>
      </c>
      <c r="B65" s="11" t="s">
        <v>35</v>
      </c>
      <c r="C65" s="10" t="s">
        <v>1127</v>
      </c>
      <c r="D65" s="10" t="s">
        <v>1128</v>
      </c>
      <c r="E65" s="8" t="s">
        <v>510</v>
      </c>
      <c r="F65" s="8" t="s">
        <v>83</v>
      </c>
      <c r="G65" s="10" t="s">
        <v>1119</v>
      </c>
      <c r="H65" s="10" t="s">
        <v>799</v>
      </c>
      <c r="I65" s="7" t="n">
        <f aca="false">COUNTIF(タスク一覧!$H:$H,A65)</f>
        <v>1</v>
      </c>
    </row>
    <row r="66" customFormat="false" ht="15" hidden="false" customHeight="false" outlineLevel="0" collapsed="false">
      <c r="A66" s="10" t="s">
        <v>809</v>
      </c>
      <c r="B66" s="11" t="s">
        <v>35</v>
      </c>
      <c r="C66" s="10" t="s">
        <v>1129</v>
      </c>
      <c r="D66" s="10" t="s">
        <v>1130</v>
      </c>
      <c r="E66" s="8" t="s">
        <v>811</v>
      </c>
      <c r="F66" s="10" t="s">
        <v>111</v>
      </c>
      <c r="G66" s="10" t="s">
        <v>1131</v>
      </c>
      <c r="H66" s="10" t="s">
        <v>1132</v>
      </c>
      <c r="I66" s="7" t="n">
        <f aca="false">COUNTIF(タスク一覧!$H:$H,A66)</f>
        <v>2</v>
      </c>
    </row>
    <row r="67" customFormat="false" ht="15" hidden="false" customHeight="false" outlineLevel="0" collapsed="false">
      <c r="A67" s="10" t="s">
        <v>820</v>
      </c>
      <c r="B67" s="11" t="s">
        <v>35</v>
      </c>
      <c r="C67" s="10" t="s">
        <v>1133</v>
      </c>
      <c r="D67" s="10" t="s">
        <v>1134</v>
      </c>
      <c r="E67" s="8" t="s">
        <v>61</v>
      </c>
      <c r="F67" s="10" t="s">
        <v>62</v>
      </c>
      <c r="G67" s="10" t="s">
        <v>1135</v>
      </c>
      <c r="H67" s="10" t="s">
        <v>819</v>
      </c>
      <c r="I67" s="7" t="n">
        <f aca="false">COUNTIF(タスク一覧!$H:$H,A67)</f>
        <v>1</v>
      </c>
    </row>
    <row r="68" customFormat="false" ht="15" hidden="false" customHeight="false" outlineLevel="0" collapsed="false">
      <c r="A68" s="10" t="s">
        <v>829</v>
      </c>
      <c r="B68" s="11" t="s">
        <v>35</v>
      </c>
      <c r="C68" s="10" t="s">
        <v>1136</v>
      </c>
      <c r="D68" s="10" t="s">
        <v>1137</v>
      </c>
      <c r="E68" s="8" t="s">
        <v>61</v>
      </c>
      <c r="F68" s="8" t="s">
        <v>83</v>
      </c>
      <c r="G68" s="10" t="s">
        <v>1138</v>
      </c>
      <c r="H68" s="10" t="s">
        <v>828</v>
      </c>
      <c r="I68" s="7" t="n">
        <f aca="false">COUNTIF(タスク一覧!$H:$H,A68)</f>
        <v>1</v>
      </c>
    </row>
    <row r="69" customFormat="false" ht="15" hidden="false" customHeight="false" outlineLevel="0" collapsed="false">
      <c r="A69" s="10" t="s">
        <v>839</v>
      </c>
      <c r="B69" s="12" t="s">
        <v>37</v>
      </c>
      <c r="C69" s="10" t="s">
        <v>1139</v>
      </c>
      <c r="D69" s="10" t="s">
        <v>1140</v>
      </c>
      <c r="E69" s="8" t="s">
        <v>92</v>
      </c>
      <c r="F69" s="8" t="s">
        <v>61</v>
      </c>
      <c r="G69" s="10" t="s">
        <v>1141</v>
      </c>
      <c r="H69" s="10" t="s">
        <v>838</v>
      </c>
      <c r="I69" s="7" t="n">
        <f aca="false">COUNTIF(タスク一覧!$H:$H,A69)</f>
        <v>1</v>
      </c>
    </row>
    <row r="70" customFormat="false" ht="15" hidden="false" customHeight="false" outlineLevel="0" collapsed="false">
      <c r="A70" s="10" t="s">
        <v>849</v>
      </c>
      <c r="B70" s="12" t="s">
        <v>37</v>
      </c>
      <c r="C70" s="10" t="s">
        <v>1142</v>
      </c>
      <c r="D70" s="10" t="s">
        <v>1143</v>
      </c>
      <c r="E70" s="8" t="s">
        <v>61</v>
      </c>
      <c r="F70" s="10" t="s">
        <v>111</v>
      </c>
      <c r="G70" s="10" t="s">
        <v>1144</v>
      </c>
      <c r="H70" s="10" t="s">
        <v>1145</v>
      </c>
      <c r="I70" s="7" t="n">
        <f aca="false">COUNTIF(タスク一覧!$H:$H,A70)</f>
        <v>1</v>
      </c>
    </row>
    <row r="71" customFormat="false" ht="15" hidden="false" customHeight="false" outlineLevel="0" collapsed="false">
      <c r="A71" s="10" t="s">
        <v>866</v>
      </c>
      <c r="B71" s="12" t="s">
        <v>37</v>
      </c>
      <c r="C71" s="10" t="s">
        <v>1146</v>
      </c>
      <c r="D71" s="10" t="s">
        <v>1147</v>
      </c>
      <c r="E71" s="8" t="s">
        <v>92</v>
      </c>
      <c r="F71" s="8" t="s">
        <v>61</v>
      </c>
      <c r="G71" s="10" t="s">
        <v>1148</v>
      </c>
      <c r="H71" s="10" t="s">
        <v>865</v>
      </c>
      <c r="I71" s="7" t="n">
        <f aca="false">COUNTIF(タスク一覧!$H:$H,A71)</f>
        <v>1</v>
      </c>
    </row>
    <row r="72" customFormat="false" ht="39.55" hidden="false" customHeight="false" outlineLevel="0" collapsed="false">
      <c r="A72" s="10" t="s">
        <v>884</v>
      </c>
      <c r="B72" s="12" t="s">
        <v>37</v>
      </c>
      <c r="C72" s="10" t="s">
        <v>1149</v>
      </c>
      <c r="D72" s="10" t="s">
        <v>1150</v>
      </c>
      <c r="E72" s="8" t="s">
        <v>61</v>
      </c>
      <c r="F72" s="10" t="s">
        <v>111</v>
      </c>
      <c r="G72" s="10" t="s">
        <v>1151</v>
      </c>
      <c r="H72" s="10" t="s">
        <v>1152</v>
      </c>
      <c r="I72" s="7" t="n">
        <f aca="false">COUNTIF(タスク一覧!$H:$H,A72)</f>
        <v>1</v>
      </c>
    </row>
    <row r="73" customFormat="false" ht="15" hidden="false" customHeight="false" outlineLevel="0" collapsed="false">
      <c r="A73" s="10" t="s">
        <v>893</v>
      </c>
      <c r="B73" s="12" t="s">
        <v>37</v>
      </c>
      <c r="C73" s="10" t="s">
        <v>1153</v>
      </c>
      <c r="D73" s="8" t="s">
        <v>1154</v>
      </c>
      <c r="E73" s="8" t="s">
        <v>92</v>
      </c>
      <c r="F73" s="10" t="s">
        <v>62</v>
      </c>
      <c r="G73" s="10" t="s">
        <v>1155</v>
      </c>
      <c r="H73" s="10" t="s">
        <v>1156</v>
      </c>
      <c r="I73" s="7" t="n">
        <f aca="false">COUNTIF(タスク一覧!$H:$H,A73)</f>
        <v>1</v>
      </c>
    </row>
    <row r="74" customFormat="false" ht="15" hidden="false" customHeight="false" outlineLevel="0" collapsed="false">
      <c r="A74" s="10" t="s">
        <v>902</v>
      </c>
      <c r="B74" s="12" t="s">
        <v>37</v>
      </c>
      <c r="C74" s="10" t="s">
        <v>1157</v>
      </c>
      <c r="D74" s="10" t="s">
        <v>1158</v>
      </c>
      <c r="E74" s="8" t="s">
        <v>61</v>
      </c>
      <c r="F74" s="8" t="s">
        <v>83</v>
      </c>
      <c r="G74" s="10" t="s">
        <v>1159</v>
      </c>
      <c r="H74" s="10" t="s">
        <v>1160</v>
      </c>
      <c r="I74" s="7" t="n">
        <f aca="false">COUNTIF(タスク一覧!$H:$H,A74)</f>
        <v>1</v>
      </c>
    </row>
    <row r="75" customFormat="false" ht="15" hidden="false" customHeight="false" outlineLevel="0" collapsed="false">
      <c r="A75" s="10" t="s">
        <v>911</v>
      </c>
      <c r="B75" s="12" t="s">
        <v>37</v>
      </c>
      <c r="C75" s="10" t="s">
        <v>1161</v>
      </c>
      <c r="D75" s="10" t="s">
        <v>912</v>
      </c>
      <c r="E75" s="8" t="s">
        <v>61</v>
      </c>
      <c r="F75" s="8" t="s">
        <v>83</v>
      </c>
      <c r="G75" s="10" t="s">
        <v>1162</v>
      </c>
      <c r="H75" s="10" t="s">
        <v>910</v>
      </c>
      <c r="I75" s="7" t="n">
        <f aca="false">COUNTIF(タスク一覧!$H:$H,A75)</f>
        <v>1</v>
      </c>
    </row>
    <row r="76" customFormat="false" ht="15" hidden="false" customHeight="false" outlineLevel="0" collapsed="false">
      <c r="A76" s="10" t="s">
        <v>264</v>
      </c>
      <c r="B76" s="9" t="s">
        <v>23</v>
      </c>
      <c r="C76" s="10" t="s">
        <v>1163</v>
      </c>
      <c r="D76" s="10" t="s">
        <v>265</v>
      </c>
      <c r="E76" s="8" t="s">
        <v>61</v>
      </c>
      <c r="F76" s="10" t="s">
        <v>111</v>
      </c>
      <c r="G76" s="10" t="s">
        <v>1164</v>
      </c>
      <c r="H76" s="10" t="s">
        <v>263</v>
      </c>
      <c r="I76" s="7" t="n">
        <f aca="false">COUNTIF(タスク一覧!$H:$H,A76)</f>
        <v>1</v>
      </c>
    </row>
    <row r="77" customFormat="false" ht="15" hidden="false" customHeight="false" outlineLevel="0" collapsed="false">
      <c r="A77" s="10" t="s">
        <v>362</v>
      </c>
      <c r="B77" s="11" t="s">
        <v>25</v>
      </c>
      <c r="C77" s="10" t="s">
        <v>359</v>
      </c>
      <c r="D77" s="10" t="s">
        <v>363</v>
      </c>
      <c r="E77" s="8" t="s">
        <v>61</v>
      </c>
      <c r="F77" s="8" t="s">
        <v>83</v>
      </c>
      <c r="G77" s="10" t="s">
        <v>1165</v>
      </c>
      <c r="H77" s="10" t="s">
        <v>361</v>
      </c>
      <c r="I77" s="7" t="n">
        <f aca="false">COUNTIF(タスク一覧!$H:$H,A77)</f>
        <v>1</v>
      </c>
    </row>
    <row r="78" customFormat="false" ht="15" hidden="false" customHeight="false" outlineLevel="0" collapsed="false">
      <c r="A78" s="10" t="s">
        <v>508</v>
      </c>
      <c r="B78" s="12" t="s">
        <v>27</v>
      </c>
      <c r="C78" s="10" t="s">
        <v>1166</v>
      </c>
      <c r="D78" s="10" t="s">
        <v>509</v>
      </c>
      <c r="E78" s="8" t="s">
        <v>510</v>
      </c>
      <c r="F78" s="8" t="s">
        <v>83</v>
      </c>
      <c r="G78" s="10" t="s">
        <v>1167</v>
      </c>
      <c r="H78" s="10" t="s">
        <v>507</v>
      </c>
      <c r="I78" s="7" t="n">
        <f aca="false">COUNTIF(タスク一覧!$H:$H,A78)</f>
        <v>1</v>
      </c>
    </row>
    <row r="79" customFormat="false" ht="15" hidden="false" customHeight="false" outlineLevel="0" collapsed="false">
      <c r="A79" s="10" t="s">
        <v>697</v>
      </c>
      <c r="B79" s="14" t="s">
        <v>31</v>
      </c>
      <c r="C79" s="10" t="s">
        <v>1168</v>
      </c>
      <c r="D79" s="10" t="s">
        <v>1169</v>
      </c>
      <c r="E79" s="10" t="s">
        <v>583</v>
      </c>
      <c r="F79" s="10" t="s">
        <v>111</v>
      </c>
      <c r="G79" s="10" t="s">
        <v>1170</v>
      </c>
      <c r="H79" s="10" t="s">
        <v>1171</v>
      </c>
      <c r="I79" s="7" t="n">
        <f aca="false">COUNTIF(タスク一覧!$H:$H,A79)</f>
        <v>1</v>
      </c>
    </row>
    <row r="80" customFormat="false" ht="15" hidden="false" customHeight="false" outlineLevel="0" collapsed="false">
      <c r="A80" s="10" t="s">
        <v>734</v>
      </c>
      <c r="B80" s="9" t="s">
        <v>33</v>
      </c>
      <c r="C80" s="10" t="s">
        <v>1172</v>
      </c>
      <c r="D80" s="10" t="s">
        <v>1173</v>
      </c>
      <c r="E80" s="8" t="s">
        <v>92</v>
      </c>
      <c r="F80" s="8" t="s">
        <v>83</v>
      </c>
      <c r="G80" s="10" t="s">
        <v>1174</v>
      </c>
      <c r="H80" s="10" t="s">
        <v>733</v>
      </c>
      <c r="I80" s="7" t="n">
        <f aca="false">COUNTIF(タスク一覧!$H:$H,A80)</f>
        <v>1</v>
      </c>
    </row>
    <row r="81" customFormat="false" ht="15" hidden="false" customHeight="false" outlineLevel="0" collapsed="false">
      <c r="A81" s="10" t="s">
        <v>875</v>
      </c>
      <c r="B81" s="12" t="s">
        <v>37</v>
      </c>
      <c r="C81" s="10" t="s">
        <v>1175</v>
      </c>
      <c r="D81" s="10" t="s">
        <v>1176</v>
      </c>
      <c r="E81" s="10" t="s">
        <v>62</v>
      </c>
      <c r="F81" s="8" t="s">
        <v>83</v>
      </c>
      <c r="G81" s="10" t="s">
        <v>1177</v>
      </c>
      <c r="H81" s="10" t="s">
        <v>1178</v>
      </c>
      <c r="I81" s="7" t="n">
        <f aca="false">COUNTIF(タスク一覧!$H:$H,A81)</f>
        <v>1</v>
      </c>
    </row>
    <row r="83" customFormat="false" ht="15" hidden="false" customHeight="false" outlineLevel="0" collapsed="false">
      <c r="A83" s="17" t="s">
        <v>1179</v>
      </c>
    </row>
  </sheetData>
  <autoFilter ref="A1:I8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36"/>
    <col collapsed="false" customWidth="true" hidden="false" outlineLevel="0" max="4" min="4" style="0" width="70"/>
  </cols>
  <sheetData>
    <row r="1" customFormat="false" ht="30" hidden="false" customHeight="true" outlineLevel="0" collapsed="false">
      <c r="A1" s="5" t="s">
        <v>1180</v>
      </c>
      <c r="B1" s="5" t="s">
        <v>1181</v>
      </c>
      <c r="C1" s="5" t="s">
        <v>46</v>
      </c>
      <c r="D1" s="5" t="s">
        <v>1182</v>
      </c>
    </row>
    <row r="2" customFormat="false" ht="15" hidden="false" customHeight="false" outlineLevel="0" collapsed="false">
      <c r="A2" s="10" t="s">
        <v>1183</v>
      </c>
      <c r="B2" s="10" t="s">
        <v>1184</v>
      </c>
      <c r="C2" s="10" t="s">
        <v>1185</v>
      </c>
      <c r="D2" s="10" t="s">
        <v>1186</v>
      </c>
    </row>
    <row r="3" customFormat="false" ht="15" hidden="false" customHeight="false" outlineLevel="0" collapsed="false">
      <c r="A3" s="10" t="s">
        <v>1183</v>
      </c>
      <c r="B3" s="10" t="s">
        <v>163</v>
      </c>
      <c r="C3" s="10" t="s">
        <v>164</v>
      </c>
      <c r="D3" s="10" t="s">
        <v>1187</v>
      </c>
    </row>
    <row r="4" customFormat="false" ht="15" hidden="false" customHeight="false" outlineLevel="0" collapsed="false">
      <c r="A4" s="10" t="s">
        <v>1183</v>
      </c>
      <c r="B4" s="10" t="s">
        <v>57</v>
      </c>
      <c r="C4" s="10" t="s">
        <v>1188</v>
      </c>
      <c r="D4" s="10" t="s">
        <v>1189</v>
      </c>
    </row>
    <row r="5" customFormat="false" ht="15" hidden="false" customHeight="false" outlineLevel="0" collapsed="false">
      <c r="A5" s="10" t="s">
        <v>1183</v>
      </c>
      <c r="B5" s="10" t="s">
        <v>1190</v>
      </c>
      <c r="C5" s="8" t="s">
        <v>933</v>
      </c>
      <c r="D5" s="10" t="s">
        <v>1191</v>
      </c>
    </row>
    <row r="6" customFormat="false" ht="15" hidden="false" customHeight="false" outlineLevel="0" collapsed="false">
      <c r="A6" s="10" t="s">
        <v>1183</v>
      </c>
      <c r="B6" s="10" t="s">
        <v>69</v>
      </c>
      <c r="C6" s="10" t="s">
        <v>70</v>
      </c>
      <c r="D6" s="10" t="s">
        <v>1192</v>
      </c>
    </row>
    <row r="7" customFormat="false" ht="15" hidden="false" customHeight="false" outlineLevel="0" collapsed="false">
      <c r="A7" s="10" t="s">
        <v>1183</v>
      </c>
      <c r="B7" s="10" t="s">
        <v>89</v>
      </c>
      <c r="C7" s="10" t="s">
        <v>90</v>
      </c>
      <c r="D7" s="10" t="s">
        <v>1193</v>
      </c>
    </row>
    <row r="8" customFormat="false" ht="15" hidden="false" customHeight="false" outlineLevel="0" collapsed="false">
      <c r="A8" s="10" t="s">
        <v>1183</v>
      </c>
      <c r="B8" s="10" t="s">
        <v>98</v>
      </c>
      <c r="C8" s="10" t="s">
        <v>99</v>
      </c>
      <c r="D8" s="10" t="s">
        <v>1194</v>
      </c>
    </row>
    <row r="9" customFormat="false" ht="26.85" hidden="false" customHeight="false" outlineLevel="0" collapsed="false">
      <c r="A9" s="10" t="s">
        <v>1183</v>
      </c>
      <c r="B9" s="10" t="s">
        <v>107</v>
      </c>
      <c r="C9" s="10" t="s">
        <v>108</v>
      </c>
      <c r="D9" s="10" t="s">
        <v>1195</v>
      </c>
    </row>
    <row r="10" customFormat="false" ht="15" hidden="false" customHeight="false" outlineLevel="0" collapsed="false">
      <c r="A10" s="10" t="s">
        <v>1183</v>
      </c>
      <c r="B10" s="10" t="s">
        <v>118</v>
      </c>
      <c r="C10" s="10" t="s">
        <v>1196</v>
      </c>
      <c r="D10" s="10" t="s">
        <v>1197</v>
      </c>
    </row>
    <row r="11" customFormat="false" ht="15" hidden="false" customHeight="false" outlineLevel="0" collapsed="false">
      <c r="A11" s="10" t="s">
        <v>1183</v>
      </c>
      <c r="B11" s="10" t="s">
        <v>145</v>
      </c>
      <c r="C11" s="10" t="s">
        <v>146</v>
      </c>
      <c r="D11" s="10" t="s">
        <v>1198</v>
      </c>
    </row>
    <row r="12" customFormat="false" ht="15" hidden="false" customHeight="false" outlineLevel="0" collapsed="false">
      <c r="A12" s="10" t="s">
        <v>1183</v>
      </c>
      <c r="B12" s="10" t="s">
        <v>1199</v>
      </c>
      <c r="C12" s="10" t="s">
        <v>1200</v>
      </c>
      <c r="D12" s="10" t="s">
        <v>1201</v>
      </c>
    </row>
    <row r="13" customFormat="false" ht="15" hidden="false" customHeight="false" outlineLevel="0" collapsed="false">
      <c r="A13" s="10" t="s">
        <v>1183</v>
      </c>
      <c r="B13" s="10" t="s">
        <v>154</v>
      </c>
      <c r="C13" s="10" t="s">
        <v>155</v>
      </c>
      <c r="D13" s="10" t="s">
        <v>1202</v>
      </c>
    </row>
    <row r="14" customFormat="false" ht="15" hidden="false" customHeight="false" outlineLevel="0" collapsed="false">
      <c r="A14" s="10" t="s">
        <v>1183</v>
      </c>
      <c r="B14" s="10" t="s">
        <v>173</v>
      </c>
      <c r="C14" s="10" t="s">
        <v>174</v>
      </c>
      <c r="D14" s="10" t="s">
        <v>1203</v>
      </c>
    </row>
    <row r="15" customFormat="false" ht="15" hidden="false" customHeight="false" outlineLevel="0" collapsed="false">
      <c r="A15" s="10" t="s">
        <v>1183</v>
      </c>
      <c r="B15" s="10" t="s">
        <v>183</v>
      </c>
      <c r="C15" s="10" t="s">
        <v>184</v>
      </c>
      <c r="D15" s="10" t="s">
        <v>1204</v>
      </c>
    </row>
    <row r="16" customFormat="false" ht="15" hidden="false" customHeight="false" outlineLevel="0" collapsed="false">
      <c r="A16" s="10" t="s">
        <v>1183</v>
      </c>
      <c r="B16" s="10" t="s">
        <v>192</v>
      </c>
      <c r="C16" s="10" t="s">
        <v>193</v>
      </c>
      <c r="D16" s="10" t="s">
        <v>1205</v>
      </c>
    </row>
    <row r="17" customFormat="false" ht="15" hidden="false" customHeight="false" outlineLevel="0" collapsed="false">
      <c r="A17" s="10" t="s">
        <v>1183</v>
      </c>
      <c r="B17" s="10" t="s">
        <v>1206</v>
      </c>
      <c r="C17" s="10" t="s">
        <v>1207</v>
      </c>
      <c r="D17" s="10" t="s">
        <v>1208</v>
      </c>
    </row>
    <row r="18" customFormat="false" ht="15" hidden="false" customHeight="false" outlineLevel="0" collapsed="false">
      <c r="A18" s="10" t="s">
        <v>1183</v>
      </c>
      <c r="B18" s="10" t="s">
        <v>201</v>
      </c>
      <c r="C18" s="8" t="s">
        <v>202</v>
      </c>
      <c r="D18" s="10" t="s">
        <v>1209</v>
      </c>
    </row>
    <row r="19" customFormat="false" ht="15" hidden="false" customHeight="false" outlineLevel="0" collapsed="false">
      <c r="A19" s="10" t="s">
        <v>1183</v>
      </c>
      <c r="B19" s="10" t="s">
        <v>1210</v>
      </c>
      <c r="C19" s="10" t="s">
        <v>1211</v>
      </c>
      <c r="D19" s="10" t="s">
        <v>1212</v>
      </c>
    </row>
    <row r="20" customFormat="false" ht="15" hidden="false" customHeight="false" outlineLevel="0" collapsed="false">
      <c r="A20" s="10" t="s">
        <v>1183</v>
      </c>
      <c r="B20" s="10" t="s">
        <v>271</v>
      </c>
      <c r="C20" s="10" t="s">
        <v>272</v>
      </c>
      <c r="D20" s="10" t="s">
        <v>1213</v>
      </c>
    </row>
    <row r="21" customFormat="false" ht="15" hidden="false" customHeight="false" outlineLevel="0" collapsed="false">
      <c r="A21" s="10" t="s">
        <v>1183</v>
      </c>
      <c r="B21" s="10" t="s">
        <v>1214</v>
      </c>
      <c r="C21" s="10" t="s">
        <v>1215</v>
      </c>
      <c r="D21" s="10" t="s">
        <v>1216</v>
      </c>
    </row>
    <row r="22" customFormat="false" ht="15" hidden="false" customHeight="false" outlineLevel="0" collapsed="false">
      <c r="A22" s="10" t="s">
        <v>1183</v>
      </c>
      <c r="B22" s="10" t="s">
        <v>1217</v>
      </c>
      <c r="C22" s="8" t="s">
        <v>1218</v>
      </c>
      <c r="D22" s="10" t="s">
        <v>1219</v>
      </c>
    </row>
    <row r="23" customFormat="false" ht="15" hidden="false" customHeight="false" outlineLevel="0" collapsed="false">
      <c r="A23" s="10" t="s">
        <v>1183</v>
      </c>
      <c r="B23" s="10" t="s">
        <v>316</v>
      </c>
      <c r="C23" s="10" t="s">
        <v>317</v>
      </c>
      <c r="D23" s="10" t="s">
        <v>1220</v>
      </c>
    </row>
    <row r="24" customFormat="false" ht="15" hidden="false" customHeight="false" outlineLevel="0" collapsed="false">
      <c r="A24" s="10" t="s">
        <v>1183</v>
      </c>
      <c r="B24" s="10" t="s">
        <v>1221</v>
      </c>
      <c r="C24" s="8" t="s">
        <v>1222</v>
      </c>
      <c r="D24" s="10" t="s">
        <v>1223</v>
      </c>
    </row>
    <row r="25" customFormat="false" ht="15" hidden="false" customHeight="false" outlineLevel="0" collapsed="false">
      <c r="A25" s="10" t="s">
        <v>1183</v>
      </c>
      <c r="B25" s="10" t="s">
        <v>972</v>
      </c>
      <c r="C25" s="10" t="s">
        <v>1224</v>
      </c>
      <c r="D25" s="10" t="s">
        <v>1225</v>
      </c>
    </row>
    <row r="26" customFormat="false" ht="15" hidden="false" customHeight="false" outlineLevel="0" collapsed="false">
      <c r="A26" s="10" t="s">
        <v>1183</v>
      </c>
      <c r="B26" s="10" t="s">
        <v>227</v>
      </c>
      <c r="C26" s="10" t="s">
        <v>228</v>
      </c>
      <c r="D26" s="10" t="s">
        <v>1226</v>
      </c>
    </row>
    <row r="27" customFormat="false" ht="15" hidden="false" customHeight="false" outlineLevel="0" collapsed="false">
      <c r="A27" s="10" t="s">
        <v>1183</v>
      </c>
      <c r="B27" s="10" t="s">
        <v>235</v>
      </c>
      <c r="C27" s="10" t="s">
        <v>236</v>
      </c>
      <c r="D27" s="10" t="s">
        <v>1227</v>
      </c>
    </row>
    <row r="28" customFormat="false" ht="15" hidden="false" customHeight="false" outlineLevel="0" collapsed="false">
      <c r="A28" s="10" t="s">
        <v>1183</v>
      </c>
      <c r="B28" s="10" t="s">
        <v>244</v>
      </c>
      <c r="C28" s="10" t="s">
        <v>245</v>
      </c>
      <c r="D28" s="10" t="s">
        <v>1228</v>
      </c>
    </row>
    <row r="29" customFormat="false" ht="15" hidden="false" customHeight="false" outlineLevel="0" collapsed="false">
      <c r="A29" s="10" t="s">
        <v>1183</v>
      </c>
      <c r="B29" s="10" t="s">
        <v>253</v>
      </c>
      <c r="C29" s="10" t="s">
        <v>254</v>
      </c>
      <c r="D29" s="10" t="s">
        <v>1229</v>
      </c>
    </row>
    <row r="30" customFormat="false" ht="15" hidden="false" customHeight="false" outlineLevel="0" collapsed="false">
      <c r="A30" s="10" t="s">
        <v>1183</v>
      </c>
      <c r="B30" s="10" t="s">
        <v>325</v>
      </c>
      <c r="C30" s="10" t="s">
        <v>326</v>
      </c>
      <c r="D30" s="10" t="s">
        <v>1230</v>
      </c>
    </row>
    <row r="31" customFormat="false" ht="15" hidden="false" customHeight="false" outlineLevel="0" collapsed="false">
      <c r="A31" s="10" t="s">
        <v>1183</v>
      </c>
      <c r="B31" s="10" t="s">
        <v>262</v>
      </c>
      <c r="C31" s="10" t="s">
        <v>263</v>
      </c>
      <c r="D31" s="10" t="s">
        <v>1231</v>
      </c>
    </row>
    <row r="32" customFormat="false" ht="15" hidden="false" customHeight="false" outlineLevel="0" collapsed="false">
      <c r="A32" s="10" t="s">
        <v>1183</v>
      </c>
      <c r="B32" s="10" t="s">
        <v>350</v>
      </c>
      <c r="C32" s="10" t="s">
        <v>351</v>
      </c>
      <c r="D32" s="10" t="s">
        <v>1232</v>
      </c>
    </row>
    <row r="33" customFormat="false" ht="15" hidden="false" customHeight="false" outlineLevel="0" collapsed="false">
      <c r="A33" s="10" t="s">
        <v>1183</v>
      </c>
      <c r="B33" s="10" t="s">
        <v>360</v>
      </c>
      <c r="C33" s="10" t="s">
        <v>361</v>
      </c>
      <c r="D33" s="10" t="s">
        <v>1233</v>
      </c>
    </row>
    <row r="34" customFormat="false" ht="15" hidden="false" customHeight="false" outlineLevel="0" collapsed="false">
      <c r="A34" s="10" t="s">
        <v>1183</v>
      </c>
      <c r="B34" s="10" t="s">
        <v>1234</v>
      </c>
      <c r="C34" s="10" t="s">
        <v>1235</v>
      </c>
      <c r="D34" s="10" t="s">
        <v>1236</v>
      </c>
    </row>
    <row r="35" customFormat="false" ht="15" hidden="false" customHeight="false" outlineLevel="0" collapsed="false">
      <c r="A35" s="10" t="s">
        <v>1183</v>
      </c>
      <c r="B35" s="10" t="s">
        <v>1237</v>
      </c>
      <c r="C35" s="10" t="s">
        <v>1238</v>
      </c>
      <c r="D35" s="10" t="s">
        <v>1239</v>
      </c>
    </row>
    <row r="36" customFormat="false" ht="15" hidden="false" customHeight="false" outlineLevel="0" collapsed="false">
      <c r="A36" s="10" t="s">
        <v>1183</v>
      </c>
      <c r="B36" s="10" t="s">
        <v>1240</v>
      </c>
      <c r="C36" s="10" t="s">
        <v>1241</v>
      </c>
      <c r="D36" s="10" t="s">
        <v>1242</v>
      </c>
    </row>
    <row r="37" customFormat="false" ht="15" hidden="false" customHeight="false" outlineLevel="0" collapsed="false">
      <c r="A37" s="10" t="s">
        <v>1183</v>
      </c>
      <c r="B37" s="10" t="s">
        <v>379</v>
      </c>
      <c r="C37" s="10" t="s">
        <v>380</v>
      </c>
      <c r="D37" s="10" t="s">
        <v>1243</v>
      </c>
    </row>
    <row r="38" customFormat="false" ht="15" hidden="false" customHeight="false" outlineLevel="0" collapsed="false">
      <c r="A38" s="10" t="s">
        <v>1183</v>
      </c>
      <c r="B38" s="10" t="s">
        <v>1244</v>
      </c>
      <c r="C38" s="10" t="s">
        <v>1245</v>
      </c>
      <c r="D38" s="10" t="s">
        <v>1246</v>
      </c>
    </row>
    <row r="39" customFormat="false" ht="15" hidden="false" customHeight="false" outlineLevel="0" collapsed="false">
      <c r="A39" s="10" t="s">
        <v>1183</v>
      </c>
      <c r="B39" s="10" t="s">
        <v>1247</v>
      </c>
      <c r="C39" s="10" t="s">
        <v>1248</v>
      </c>
      <c r="D39" s="10" t="s">
        <v>1249</v>
      </c>
    </row>
    <row r="40" customFormat="false" ht="15" hidden="false" customHeight="false" outlineLevel="0" collapsed="false">
      <c r="A40" s="10" t="s">
        <v>1183</v>
      </c>
      <c r="B40" s="10" t="s">
        <v>1250</v>
      </c>
      <c r="C40" s="10" t="s">
        <v>1251</v>
      </c>
      <c r="D40" s="10" t="s">
        <v>1252</v>
      </c>
    </row>
    <row r="41" customFormat="false" ht="15" hidden="false" customHeight="false" outlineLevel="0" collapsed="false">
      <c r="A41" s="10" t="s">
        <v>1183</v>
      </c>
      <c r="B41" s="10" t="s">
        <v>1253</v>
      </c>
      <c r="C41" s="10" t="s">
        <v>1022</v>
      </c>
      <c r="D41" s="10" t="s">
        <v>1254</v>
      </c>
    </row>
    <row r="42" customFormat="false" ht="15" hidden="false" customHeight="false" outlineLevel="0" collapsed="false">
      <c r="A42" s="10" t="s">
        <v>1183</v>
      </c>
      <c r="B42" s="10" t="s">
        <v>1255</v>
      </c>
      <c r="C42" s="10" t="s">
        <v>1256</v>
      </c>
      <c r="D42" s="10" t="s">
        <v>1257</v>
      </c>
    </row>
    <row r="43" customFormat="false" ht="15" hidden="false" customHeight="false" outlineLevel="0" collapsed="false">
      <c r="A43" s="10" t="s">
        <v>1183</v>
      </c>
      <c r="B43" s="10" t="s">
        <v>1258</v>
      </c>
      <c r="C43" s="8" t="s">
        <v>1259</v>
      </c>
      <c r="D43" s="10" t="s">
        <v>1260</v>
      </c>
    </row>
    <row r="44" customFormat="false" ht="15" hidden="false" customHeight="false" outlineLevel="0" collapsed="false">
      <c r="A44" s="10" t="s">
        <v>1183</v>
      </c>
      <c r="B44" s="10" t="s">
        <v>1261</v>
      </c>
      <c r="C44" s="10" t="s">
        <v>1262</v>
      </c>
      <c r="D44" s="10" t="s">
        <v>1263</v>
      </c>
    </row>
    <row r="45" customFormat="false" ht="15" hidden="false" customHeight="false" outlineLevel="0" collapsed="false">
      <c r="A45" s="10" t="s">
        <v>1183</v>
      </c>
      <c r="B45" s="10" t="s">
        <v>424</v>
      </c>
      <c r="C45" s="10" t="s">
        <v>425</v>
      </c>
      <c r="D45" s="10" t="s">
        <v>1264</v>
      </c>
    </row>
    <row r="46" customFormat="false" ht="15" hidden="false" customHeight="false" outlineLevel="0" collapsed="false">
      <c r="A46" s="10" t="s">
        <v>1183</v>
      </c>
      <c r="B46" s="10" t="s">
        <v>1036</v>
      </c>
      <c r="C46" s="10" t="s">
        <v>1265</v>
      </c>
      <c r="D46" s="8" t="s">
        <v>1266</v>
      </c>
    </row>
    <row r="47" customFormat="false" ht="15" hidden="false" customHeight="false" outlineLevel="0" collapsed="false">
      <c r="A47" s="10" t="s">
        <v>1183</v>
      </c>
      <c r="B47" s="10" t="s">
        <v>1267</v>
      </c>
      <c r="C47" s="8" t="s">
        <v>1268</v>
      </c>
      <c r="D47" s="8" t="s">
        <v>1269</v>
      </c>
    </row>
    <row r="48" customFormat="false" ht="15" hidden="false" customHeight="false" outlineLevel="0" collapsed="false">
      <c r="A48" s="10" t="s">
        <v>1183</v>
      </c>
      <c r="B48" s="10" t="s">
        <v>459</v>
      </c>
      <c r="C48" s="10" t="s">
        <v>460</v>
      </c>
      <c r="D48" s="10" t="s">
        <v>1270</v>
      </c>
    </row>
    <row r="49" customFormat="false" ht="15" hidden="false" customHeight="false" outlineLevel="0" collapsed="false">
      <c r="A49" s="10" t="s">
        <v>1183</v>
      </c>
      <c r="B49" s="10" t="s">
        <v>1271</v>
      </c>
      <c r="C49" s="10" t="s">
        <v>1272</v>
      </c>
      <c r="D49" s="10" t="s">
        <v>1273</v>
      </c>
    </row>
    <row r="50" customFormat="false" ht="15" hidden="false" customHeight="false" outlineLevel="0" collapsed="false">
      <c r="A50" s="10" t="s">
        <v>1183</v>
      </c>
      <c r="B50" s="10" t="s">
        <v>468</v>
      </c>
      <c r="C50" s="10" t="s">
        <v>469</v>
      </c>
      <c r="D50" s="10" t="s">
        <v>467</v>
      </c>
    </row>
    <row r="51" customFormat="false" ht="15" hidden="false" customHeight="false" outlineLevel="0" collapsed="false">
      <c r="A51" s="10" t="s">
        <v>1183</v>
      </c>
      <c r="B51" s="10" t="s">
        <v>497</v>
      </c>
      <c r="C51" s="8" t="s">
        <v>498</v>
      </c>
      <c r="D51" s="8" t="s">
        <v>496</v>
      </c>
    </row>
    <row r="52" customFormat="false" ht="15" hidden="false" customHeight="false" outlineLevel="0" collapsed="false">
      <c r="A52" s="10" t="s">
        <v>1183</v>
      </c>
      <c r="B52" s="10" t="s">
        <v>478</v>
      </c>
      <c r="C52" s="8" t="s">
        <v>479</v>
      </c>
      <c r="D52" s="10" t="s">
        <v>1274</v>
      </c>
    </row>
    <row r="53" customFormat="false" ht="15" hidden="false" customHeight="false" outlineLevel="0" collapsed="false">
      <c r="A53" s="10" t="s">
        <v>1183</v>
      </c>
      <c r="B53" s="10" t="s">
        <v>1275</v>
      </c>
      <c r="C53" s="8" t="s">
        <v>489</v>
      </c>
      <c r="D53" s="10" t="s">
        <v>1276</v>
      </c>
    </row>
    <row r="54" customFormat="false" ht="15" hidden="false" customHeight="false" outlineLevel="0" collapsed="false">
      <c r="A54" s="10" t="s">
        <v>1183</v>
      </c>
      <c r="B54" s="10" t="s">
        <v>516</v>
      </c>
      <c r="C54" s="10" t="s">
        <v>517</v>
      </c>
      <c r="D54" s="10" t="s">
        <v>1277</v>
      </c>
    </row>
    <row r="55" customFormat="false" ht="15" hidden="false" customHeight="false" outlineLevel="0" collapsed="false">
      <c r="A55" s="10" t="s">
        <v>1183</v>
      </c>
      <c r="B55" s="10" t="s">
        <v>506</v>
      </c>
      <c r="C55" s="10" t="s">
        <v>507</v>
      </c>
      <c r="D55" s="10" t="s">
        <v>1278</v>
      </c>
    </row>
    <row r="56" customFormat="false" ht="15" hidden="false" customHeight="false" outlineLevel="0" collapsed="false">
      <c r="A56" s="10" t="s">
        <v>1183</v>
      </c>
      <c r="B56" s="10" t="s">
        <v>525</v>
      </c>
      <c r="C56" s="10" t="s">
        <v>526</v>
      </c>
      <c r="D56" s="10" t="s">
        <v>1279</v>
      </c>
    </row>
    <row r="57" customFormat="false" ht="15" hidden="false" customHeight="false" outlineLevel="0" collapsed="false">
      <c r="A57" s="10" t="s">
        <v>1183</v>
      </c>
      <c r="B57" s="10" t="s">
        <v>535</v>
      </c>
      <c r="C57" s="10" t="s">
        <v>536</v>
      </c>
      <c r="D57" s="10" t="s">
        <v>1280</v>
      </c>
    </row>
    <row r="58" customFormat="false" ht="15" hidden="false" customHeight="false" outlineLevel="0" collapsed="false">
      <c r="A58" s="10" t="s">
        <v>1183</v>
      </c>
      <c r="B58" s="10" t="s">
        <v>543</v>
      </c>
      <c r="C58" s="8" t="s">
        <v>544</v>
      </c>
      <c r="D58" s="10" t="s">
        <v>1281</v>
      </c>
    </row>
    <row r="59" customFormat="false" ht="15" hidden="false" customHeight="false" outlineLevel="0" collapsed="false">
      <c r="A59" s="10" t="s">
        <v>1183</v>
      </c>
      <c r="B59" s="10" t="s">
        <v>1282</v>
      </c>
      <c r="C59" s="10" t="s">
        <v>1283</v>
      </c>
      <c r="D59" s="10" t="s">
        <v>1284</v>
      </c>
    </row>
    <row r="60" customFormat="false" ht="15" hidden="false" customHeight="false" outlineLevel="0" collapsed="false">
      <c r="A60" s="10" t="s">
        <v>1183</v>
      </c>
      <c r="B60" s="10" t="s">
        <v>1285</v>
      </c>
      <c r="C60" s="10" t="s">
        <v>1286</v>
      </c>
      <c r="D60" s="8" t="s">
        <v>1287</v>
      </c>
    </row>
    <row r="61" customFormat="false" ht="15" hidden="false" customHeight="false" outlineLevel="0" collapsed="false">
      <c r="A61" s="10" t="s">
        <v>1183</v>
      </c>
      <c r="B61" s="10" t="s">
        <v>1288</v>
      </c>
      <c r="C61" s="10" t="s">
        <v>1289</v>
      </c>
      <c r="D61" s="10" t="s">
        <v>1290</v>
      </c>
    </row>
    <row r="62" customFormat="false" ht="15" hidden="false" customHeight="false" outlineLevel="0" collapsed="false">
      <c r="A62" s="10" t="s">
        <v>1183</v>
      </c>
      <c r="B62" s="10" t="s">
        <v>1291</v>
      </c>
      <c r="C62" s="10" t="s">
        <v>1292</v>
      </c>
      <c r="D62" s="10" t="s">
        <v>1293</v>
      </c>
    </row>
    <row r="63" customFormat="false" ht="15" hidden="false" customHeight="false" outlineLevel="0" collapsed="false">
      <c r="A63" s="10" t="s">
        <v>1183</v>
      </c>
      <c r="B63" s="8" t="s">
        <v>1294</v>
      </c>
      <c r="C63" s="8" t="s">
        <v>1295</v>
      </c>
      <c r="D63" s="10" t="s">
        <v>1296</v>
      </c>
    </row>
    <row r="64" customFormat="false" ht="15" hidden="false" customHeight="false" outlineLevel="0" collapsed="false">
      <c r="A64" s="10" t="s">
        <v>1183</v>
      </c>
      <c r="B64" s="10" t="s">
        <v>1297</v>
      </c>
      <c r="C64" s="10" t="s">
        <v>1298</v>
      </c>
      <c r="D64" s="10" t="s">
        <v>1299</v>
      </c>
    </row>
    <row r="65" customFormat="false" ht="15" hidden="false" customHeight="false" outlineLevel="0" collapsed="false">
      <c r="A65" s="10" t="s">
        <v>1183</v>
      </c>
      <c r="B65" s="10" t="s">
        <v>1300</v>
      </c>
      <c r="C65" s="10" t="s">
        <v>1301</v>
      </c>
      <c r="D65" s="10" t="s">
        <v>1302</v>
      </c>
    </row>
    <row r="66" customFormat="false" ht="15" hidden="false" customHeight="false" outlineLevel="0" collapsed="false">
      <c r="A66" s="10" t="s">
        <v>1183</v>
      </c>
      <c r="B66" s="10" t="s">
        <v>127</v>
      </c>
      <c r="C66" s="10" t="s">
        <v>128</v>
      </c>
      <c r="D66" s="10" t="s">
        <v>1303</v>
      </c>
    </row>
    <row r="67" customFormat="false" ht="15" hidden="false" customHeight="false" outlineLevel="0" collapsed="false">
      <c r="A67" s="10" t="s">
        <v>1183</v>
      </c>
      <c r="B67" s="10" t="s">
        <v>1304</v>
      </c>
      <c r="C67" s="10" t="s">
        <v>1305</v>
      </c>
      <c r="D67" s="10" t="s">
        <v>1306</v>
      </c>
    </row>
    <row r="68" customFormat="false" ht="15" hidden="false" customHeight="false" outlineLevel="0" collapsed="false">
      <c r="A68" s="10" t="s">
        <v>1183</v>
      </c>
      <c r="B68" s="10" t="s">
        <v>1307</v>
      </c>
      <c r="C68" s="10" t="s">
        <v>1308</v>
      </c>
      <c r="D68" s="10" t="s">
        <v>1309</v>
      </c>
    </row>
    <row r="69" customFormat="false" ht="15" hidden="false" customHeight="false" outlineLevel="0" collapsed="false">
      <c r="A69" s="10" t="s">
        <v>1183</v>
      </c>
      <c r="B69" s="10" t="s">
        <v>1310</v>
      </c>
      <c r="C69" s="10" t="s">
        <v>1311</v>
      </c>
      <c r="D69" s="10" t="s">
        <v>1312</v>
      </c>
    </row>
    <row r="70" customFormat="false" ht="26.85" hidden="false" customHeight="false" outlineLevel="0" collapsed="false">
      <c r="A70" s="10" t="s">
        <v>1183</v>
      </c>
      <c r="B70" s="10" t="s">
        <v>1313</v>
      </c>
      <c r="C70" s="10" t="s">
        <v>1314</v>
      </c>
      <c r="D70" s="10" t="s">
        <v>1315</v>
      </c>
    </row>
    <row r="71" customFormat="false" ht="15" hidden="false" customHeight="false" outlineLevel="0" collapsed="false">
      <c r="A71" s="10" t="s">
        <v>1183</v>
      </c>
      <c r="B71" s="10" t="s">
        <v>280</v>
      </c>
      <c r="C71" s="10" t="s">
        <v>281</v>
      </c>
      <c r="D71" s="10" t="s">
        <v>1316</v>
      </c>
    </row>
    <row r="72" customFormat="false" ht="15" hidden="false" customHeight="false" outlineLevel="0" collapsed="false">
      <c r="A72" s="10" t="s">
        <v>1183</v>
      </c>
      <c r="B72" s="10" t="s">
        <v>289</v>
      </c>
      <c r="C72" s="8" t="s">
        <v>290</v>
      </c>
      <c r="D72" s="10" t="s">
        <v>1317</v>
      </c>
    </row>
    <row r="73" customFormat="false" ht="15" hidden="false" customHeight="false" outlineLevel="0" collapsed="false">
      <c r="A73" s="10" t="s">
        <v>1183</v>
      </c>
      <c r="B73" s="10" t="s">
        <v>1318</v>
      </c>
      <c r="C73" s="10" t="s">
        <v>1319</v>
      </c>
      <c r="D73" s="10" t="s">
        <v>1320</v>
      </c>
    </row>
    <row r="74" customFormat="false" ht="15" hidden="false" customHeight="false" outlineLevel="0" collapsed="false">
      <c r="A74" s="10" t="s">
        <v>1183</v>
      </c>
      <c r="B74" s="10" t="s">
        <v>1321</v>
      </c>
      <c r="C74" s="10" t="s">
        <v>1322</v>
      </c>
      <c r="D74" s="10" t="s">
        <v>1323</v>
      </c>
    </row>
    <row r="75" customFormat="false" ht="15" hidden="false" customHeight="false" outlineLevel="0" collapsed="false">
      <c r="A75" s="10" t="s">
        <v>1183</v>
      </c>
      <c r="B75" s="10" t="s">
        <v>1324</v>
      </c>
      <c r="C75" s="10" t="s">
        <v>1325</v>
      </c>
      <c r="D75" s="10" t="s">
        <v>1326</v>
      </c>
    </row>
    <row r="76" customFormat="false" ht="26.85" hidden="false" customHeight="false" outlineLevel="0" collapsed="false">
      <c r="A76" s="10" t="s">
        <v>1327</v>
      </c>
      <c r="B76" s="10" t="s">
        <v>579</v>
      </c>
      <c r="C76" s="10" t="s">
        <v>580</v>
      </c>
      <c r="D76" s="10" t="s">
        <v>1328</v>
      </c>
    </row>
    <row r="77" customFormat="false" ht="15" hidden="false" customHeight="false" outlineLevel="0" collapsed="false">
      <c r="A77" s="10" t="s">
        <v>1327</v>
      </c>
      <c r="B77" s="10" t="s">
        <v>1329</v>
      </c>
      <c r="C77" s="10" t="s">
        <v>1330</v>
      </c>
      <c r="D77" s="10" t="s">
        <v>1331</v>
      </c>
    </row>
    <row r="78" customFormat="false" ht="15" hidden="false" customHeight="false" outlineLevel="0" collapsed="false">
      <c r="A78" s="10" t="s">
        <v>1327</v>
      </c>
      <c r="B78" s="10" t="s">
        <v>1332</v>
      </c>
      <c r="C78" s="10" t="s">
        <v>1333</v>
      </c>
      <c r="D78" s="10" t="s">
        <v>1334</v>
      </c>
    </row>
    <row r="79" customFormat="false" ht="15" hidden="false" customHeight="false" outlineLevel="0" collapsed="false">
      <c r="A79" s="10" t="s">
        <v>1327</v>
      </c>
      <c r="B79" s="10" t="s">
        <v>1335</v>
      </c>
      <c r="C79" s="10" t="s">
        <v>1336</v>
      </c>
      <c r="D79" s="10" t="s">
        <v>1337</v>
      </c>
    </row>
    <row r="80" customFormat="false" ht="15" hidden="false" customHeight="false" outlineLevel="0" collapsed="false">
      <c r="A80" s="10" t="s">
        <v>1327</v>
      </c>
      <c r="B80" s="10" t="s">
        <v>1338</v>
      </c>
      <c r="C80" s="10" t="s">
        <v>1339</v>
      </c>
      <c r="D80" s="10" t="s">
        <v>1340</v>
      </c>
    </row>
    <row r="81" customFormat="false" ht="15" hidden="false" customHeight="false" outlineLevel="0" collapsed="false">
      <c r="A81" s="10" t="s">
        <v>1327</v>
      </c>
      <c r="B81" s="10" t="s">
        <v>1341</v>
      </c>
      <c r="C81" s="10" t="s">
        <v>1342</v>
      </c>
      <c r="D81" s="10" t="s">
        <v>1343</v>
      </c>
    </row>
    <row r="82" customFormat="false" ht="15" hidden="false" customHeight="false" outlineLevel="0" collapsed="false">
      <c r="A82" s="10" t="s">
        <v>1327</v>
      </c>
      <c r="B82" s="10" t="s">
        <v>607</v>
      </c>
      <c r="C82" s="10" t="s">
        <v>608</v>
      </c>
      <c r="D82" s="10" t="s">
        <v>1344</v>
      </c>
    </row>
    <row r="83" customFormat="false" ht="15" hidden="false" customHeight="false" outlineLevel="0" collapsed="false">
      <c r="A83" s="10" t="s">
        <v>1327</v>
      </c>
      <c r="B83" s="10" t="s">
        <v>625</v>
      </c>
      <c r="C83" s="10" t="s">
        <v>626</v>
      </c>
      <c r="D83" s="10" t="s">
        <v>1345</v>
      </c>
    </row>
    <row r="84" customFormat="false" ht="15" hidden="false" customHeight="false" outlineLevel="0" collapsed="false">
      <c r="A84" s="10" t="s">
        <v>1327</v>
      </c>
      <c r="B84" s="10" t="s">
        <v>616</v>
      </c>
      <c r="C84" s="10" t="s">
        <v>617</v>
      </c>
      <c r="D84" s="10" t="s">
        <v>1346</v>
      </c>
    </row>
    <row r="85" customFormat="false" ht="15" hidden="false" customHeight="false" outlineLevel="0" collapsed="false">
      <c r="A85" s="10" t="s">
        <v>1327</v>
      </c>
      <c r="B85" s="10" t="s">
        <v>1347</v>
      </c>
      <c r="C85" s="10" t="s">
        <v>1348</v>
      </c>
      <c r="D85" s="10" t="s">
        <v>1349</v>
      </c>
    </row>
    <row r="86" customFormat="false" ht="15" hidden="false" customHeight="false" outlineLevel="0" collapsed="false">
      <c r="A86" s="10" t="s">
        <v>1327</v>
      </c>
      <c r="B86" s="10" t="s">
        <v>1350</v>
      </c>
      <c r="C86" s="8" t="s">
        <v>1351</v>
      </c>
      <c r="D86" s="10" t="s">
        <v>1352</v>
      </c>
    </row>
    <row r="87" customFormat="false" ht="15" hidden="false" customHeight="false" outlineLevel="0" collapsed="false">
      <c r="A87" s="10" t="s">
        <v>1327</v>
      </c>
      <c r="B87" s="10" t="s">
        <v>1353</v>
      </c>
      <c r="C87" s="10" t="s">
        <v>1354</v>
      </c>
      <c r="D87" s="10" t="s">
        <v>1355</v>
      </c>
    </row>
    <row r="88" customFormat="false" ht="15" hidden="false" customHeight="false" outlineLevel="0" collapsed="false">
      <c r="A88" s="10" t="s">
        <v>1327</v>
      </c>
      <c r="B88" s="10" t="s">
        <v>644</v>
      </c>
      <c r="C88" s="10" t="s">
        <v>1356</v>
      </c>
      <c r="D88" s="10" t="s">
        <v>1357</v>
      </c>
    </row>
    <row r="89" customFormat="false" ht="15" hidden="false" customHeight="false" outlineLevel="0" collapsed="false">
      <c r="A89" s="10" t="s">
        <v>1327</v>
      </c>
      <c r="B89" s="10" t="s">
        <v>1358</v>
      </c>
      <c r="C89" s="10" t="s">
        <v>1359</v>
      </c>
      <c r="D89" s="10" t="s">
        <v>1360</v>
      </c>
    </row>
    <row r="90" customFormat="false" ht="15" hidden="false" customHeight="false" outlineLevel="0" collapsed="false">
      <c r="A90" s="10" t="s">
        <v>1327</v>
      </c>
      <c r="B90" s="10" t="s">
        <v>661</v>
      </c>
      <c r="C90" s="10" t="s">
        <v>1361</v>
      </c>
      <c r="D90" s="10" t="s">
        <v>1362</v>
      </c>
    </row>
    <row r="91" customFormat="false" ht="15" hidden="false" customHeight="false" outlineLevel="0" collapsed="false">
      <c r="A91" s="10" t="s">
        <v>1327</v>
      </c>
      <c r="B91" s="10" t="s">
        <v>670</v>
      </c>
      <c r="C91" s="10" t="s">
        <v>671</v>
      </c>
      <c r="D91" s="10" t="s">
        <v>1363</v>
      </c>
    </row>
    <row r="92" customFormat="false" ht="15" hidden="false" customHeight="false" outlineLevel="0" collapsed="false">
      <c r="A92" s="10" t="s">
        <v>1327</v>
      </c>
      <c r="B92" s="10" t="s">
        <v>678</v>
      </c>
      <c r="C92" s="10" t="s">
        <v>679</v>
      </c>
      <c r="D92" s="10" t="s">
        <v>1364</v>
      </c>
    </row>
    <row r="93" customFormat="false" ht="15" hidden="false" customHeight="false" outlineLevel="0" collapsed="false">
      <c r="A93" s="10" t="s">
        <v>1327</v>
      </c>
      <c r="B93" s="10" t="s">
        <v>1365</v>
      </c>
      <c r="C93" s="10" t="s">
        <v>1366</v>
      </c>
      <c r="D93" s="10" t="s">
        <v>1367</v>
      </c>
    </row>
    <row r="94" customFormat="false" ht="15" hidden="false" customHeight="false" outlineLevel="0" collapsed="false">
      <c r="A94" s="10" t="s">
        <v>1327</v>
      </c>
      <c r="B94" s="10" t="s">
        <v>1368</v>
      </c>
      <c r="C94" s="10" t="s">
        <v>1369</v>
      </c>
      <c r="D94" s="8" t="s">
        <v>1370</v>
      </c>
    </row>
    <row r="95" customFormat="false" ht="15" hidden="false" customHeight="false" outlineLevel="0" collapsed="false">
      <c r="A95" s="10" t="s">
        <v>1327</v>
      </c>
      <c r="B95" s="10" t="s">
        <v>1371</v>
      </c>
      <c r="C95" s="10" t="s">
        <v>1372</v>
      </c>
      <c r="D95" s="10" t="s">
        <v>1373</v>
      </c>
    </row>
    <row r="96" customFormat="false" ht="15" hidden="false" customHeight="false" outlineLevel="0" collapsed="false">
      <c r="A96" s="10" t="s">
        <v>1327</v>
      </c>
      <c r="B96" s="10" t="s">
        <v>732</v>
      </c>
      <c r="C96" s="10" t="s">
        <v>733</v>
      </c>
      <c r="D96" s="10" t="s">
        <v>1374</v>
      </c>
    </row>
    <row r="97" customFormat="false" ht="15" hidden="false" customHeight="false" outlineLevel="0" collapsed="false">
      <c r="A97" s="10" t="s">
        <v>1327</v>
      </c>
      <c r="B97" s="10" t="s">
        <v>741</v>
      </c>
      <c r="C97" s="10" t="s">
        <v>742</v>
      </c>
      <c r="D97" s="10" t="s">
        <v>740</v>
      </c>
    </row>
    <row r="98" customFormat="false" ht="15" hidden="false" customHeight="false" outlineLevel="0" collapsed="false">
      <c r="A98" s="10" t="s">
        <v>1327</v>
      </c>
      <c r="B98" s="10" t="s">
        <v>1375</v>
      </c>
      <c r="C98" s="10" t="s">
        <v>1171</v>
      </c>
      <c r="D98" s="10" t="s">
        <v>1376</v>
      </c>
    </row>
    <row r="99" customFormat="false" ht="15" hidden="false" customHeight="false" outlineLevel="0" collapsed="false">
      <c r="A99" s="10" t="s">
        <v>1327</v>
      </c>
      <c r="B99" s="10" t="s">
        <v>724</v>
      </c>
      <c r="C99" s="10" t="s">
        <v>725</v>
      </c>
      <c r="D99" s="10" t="s">
        <v>1377</v>
      </c>
    </row>
    <row r="100" customFormat="false" ht="15" hidden="false" customHeight="false" outlineLevel="0" collapsed="false">
      <c r="A100" s="10" t="s">
        <v>1327</v>
      </c>
      <c r="B100" s="10" t="s">
        <v>750</v>
      </c>
      <c r="C100" s="8" t="s">
        <v>751</v>
      </c>
      <c r="D100" s="10" t="s">
        <v>1378</v>
      </c>
    </row>
    <row r="101" customFormat="false" ht="15" hidden="false" customHeight="false" outlineLevel="0" collapsed="false">
      <c r="A101" s="10" t="s">
        <v>1327</v>
      </c>
      <c r="B101" s="10" t="s">
        <v>1379</v>
      </c>
      <c r="C101" s="10" t="s">
        <v>1380</v>
      </c>
      <c r="D101" s="10" t="s">
        <v>1381</v>
      </c>
    </row>
    <row r="102" customFormat="false" ht="15" hidden="false" customHeight="false" outlineLevel="0" collapsed="false">
      <c r="A102" s="10" t="s">
        <v>1327</v>
      </c>
      <c r="B102" s="10" t="s">
        <v>1382</v>
      </c>
      <c r="C102" s="10" t="s">
        <v>1383</v>
      </c>
      <c r="D102" s="10" t="s">
        <v>1384</v>
      </c>
    </row>
    <row r="103" customFormat="false" ht="15" hidden="false" customHeight="false" outlineLevel="0" collapsed="false">
      <c r="A103" s="10" t="s">
        <v>1327</v>
      </c>
      <c r="B103" s="10" t="s">
        <v>1385</v>
      </c>
      <c r="C103" s="10" t="s">
        <v>1386</v>
      </c>
      <c r="D103" s="10" t="s">
        <v>1387</v>
      </c>
    </row>
    <row r="104" customFormat="false" ht="15" hidden="false" customHeight="false" outlineLevel="0" collapsed="false">
      <c r="A104" s="10" t="s">
        <v>1327</v>
      </c>
      <c r="B104" s="10" t="s">
        <v>1388</v>
      </c>
      <c r="C104" s="10" t="s">
        <v>1389</v>
      </c>
      <c r="D104" s="10" t="s">
        <v>1390</v>
      </c>
    </row>
    <row r="105" customFormat="false" ht="15" hidden="false" customHeight="false" outlineLevel="0" collapsed="false">
      <c r="A105" s="10" t="s">
        <v>1327</v>
      </c>
      <c r="B105" s="10" t="s">
        <v>1391</v>
      </c>
      <c r="C105" s="10" t="s">
        <v>1392</v>
      </c>
      <c r="D105" s="10" t="s">
        <v>778</v>
      </c>
    </row>
    <row r="106" customFormat="false" ht="15" hidden="false" customHeight="false" outlineLevel="0" collapsed="false">
      <c r="A106" s="10" t="s">
        <v>1327</v>
      </c>
      <c r="B106" s="10" t="s">
        <v>1393</v>
      </c>
      <c r="C106" s="10" t="s">
        <v>1394</v>
      </c>
      <c r="D106" s="10" t="s">
        <v>1395</v>
      </c>
    </row>
    <row r="107" customFormat="false" ht="15" hidden="false" customHeight="false" outlineLevel="0" collapsed="false">
      <c r="A107" s="10" t="s">
        <v>1327</v>
      </c>
      <c r="B107" s="10" t="s">
        <v>1396</v>
      </c>
      <c r="C107" s="10" t="s">
        <v>1397</v>
      </c>
      <c r="D107" s="10" t="s">
        <v>1398</v>
      </c>
    </row>
    <row r="108" customFormat="false" ht="15" hidden="false" customHeight="false" outlineLevel="0" collapsed="false">
      <c r="A108" s="10" t="s">
        <v>1327</v>
      </c>
      <c r="B108" s="10" t="s">
        <v>1399</v>
      </c>
      <c r="C108" s="10" t="s">
        <v>1400</v>
      </c>
      <c r="D108" s="10" t="s">
        <v>1401</v>
      </c>
    </row>
    <row r="109" customFormat="false" ht="15" hidden="false" customHeight="false" outlineLevel="0" collapsed="false">
      <c r="A109" s="10" t="s">
        <v>1327</v>
      </c>
      <c r="B109" s="10" t="s">
        <v>818</v>
      </c>
      <c r="C109" s="10" t="s">
        <v>819</v>
      </c>
      <c r="D109" s="10" t="s">
        <v>1402</v>
      </c>
    </row>
    <row r="110" customFormat="false" ht="15" hidden="false" customHeight="false" outlineLevel="0" collapsed="false">
      <c r="A110" s="10" t="s">
        <v>1327</v>
      </c>
      <c r="B110" s="10" t="s">
        <v>798</v>
      </c>
      <c r="C110" s="10" t="s">
        <v>799</v>
      </c>
      <c r="D110" s="10" t="s">
        <v>1403</v>
      </c>
    </row>
    <row r="111" customFormat="false" ht="15" hidden="false" customHeight="false" outlineLevel="0" collapsed="false">
      <c r="A111" s="10" t="s">
        <v>1327</v>
      </c>
      <c r="B111" s="10" t="s">
        <v>1404</v>
      </c>
      <c r="C111" s="10" t="s">
        <v>1405</v>
      </c>
      <c r="D111" s="10" t="s">
        <v>1406</v>
      </c>
    </row>
    <row r="112" customFormat="false" ht="15" hidden="false" customHeight="false" outlineLevel="0" collapsed="false">
      <c r="A112" s="10" t="s">
        <v>1327</v>
      </c>
      <c r="B112" s="10" t="s">
        <v>1407</v>
      </c>
      <c r="C112" s="10" t="s">
        <v>1408</v>
      </c>
      <c r="D112" s="10" t="s">
        <v>1409</v>
      </c>
    </row>
    <row r="113" customFormat="false" ht="15" hidden="false" customHeight="false" outlineLevel="0" collapsed="false">
      <c r="A113" s="10" t="s">
        <v>1327</v>
      </c>
      <c r="B113" s="10" t="s">
        <v>1410</v>
      </c>
      <c r="C113" s="10" t="s">
        <v>1411</v>
      </c>
      <c r="D113" s="10" t="s">
        <v>1412</v>
      </c>
    </row>
    <row r="114" customFormat="false" ht="15" hidden="false" customHeight="false" outlineLevel="0" collapsed="false">
      <c r="A114" s="10" t="s">
        <v>1327</v>
      </c>
      <c r="B114" s="10" t="s">
        <v>1413</v>
      </c>
      <c r="C114" s="10" t="s">
        <v>1414</v>
      </c>
      <c r="D114" s="10" t="s">
        <v>1415</v>
      </c>
    </row>
    <row r="115" customFormat="false" ht="15" hidden="false" customHeight="false" outlineLevel="0" collapsed="false">
      <c r="A115" s="10" t="s">
        <v>1327</v>
      </c>
      <c r="B115" s="10" t="s">
        <v>1416</v>
      </c>
      <c r="C115" s="10" t="s">
        <v>1417</v>
      </c>
      <c r="D115" s="10" t="s">
        <v>836</v>
      </c>
    </row>
    <row r="116" customFormat="false" ht="15" hidden="false" customHeight="false" outlineLevel="0" collapsed="false">
      <c r="A116" s="10" t="s">
        <v>1327</v>
      </c>
      <c r="B116" s="10" t="s">
        <v>1418</v>
      </c>
      <c r="C116" s="8" t="s">
        <v>1419</v>
      </c>
      <c r="D116" s="10" t="s">
        <v>1420</v>
      </c>
    </row>
    <row r="117" customFormat="false" ht="15" hidden="false" customHeight="false" outlineLevel="0" collapsed="false">
      <c r="A117" s="10" t="s">
        <v>1327</v>
      </c>
      <c r="B117" s="10" t="s">
        <v>807</v>
      </c>
      <c r="C117" s="10" t="s">
        <v>808</v>
      </c>
      <c r="D117" s="10" t="s">
        <v>1421</v>
      </c>
    </row>
    <row r="118" customFormat="false" ht="15" hidden="false" customHeight="false" outlineLevel="0" collapsed="false">
      <c r="A118" s="10" t="s">
        <v>1327</v>
      </c>
      <c r="B118" s="10" t="s">
        <v>856</v>
      </c>
      <c r="C118" s="8" t="s">
        <v>857</v>
      </c>
      <c r="D118" s="10" t="s">
        <v>1422</v>
      </c>
    </row>
    <row r="119" customFormat="false" ht="15" hidden="false" customHeight="false" outlineLevel="0" collapsed="false">
      <c r="A119" s="10" t="s">
        <v>1327</v>
      </c>
      <c r="B119" s="10" t="s">
        <v>864</v>
      </c>
      <c r="C119" s="10" t="s">
        <v>1423</v>
      </c>
      <c r="D119" s="10" t="s">
        <v>1424</v>
      </c>
    </row>
    <row r="120" customFormat="false" ht="15" hidden="false" customHeight="false" outlineLevel="0" collapsed="false">
      <c r="A120" s="10" t="s">
        <v>1327</v>
      </c>
      <c r="B120" s="10" t="s">
        <v>1425</v>
      </c>
      <c r="C120" s="10" t="s">
        <v>1426</v>
      </c>
      <c r="D120" s="10" t="s">
        <v>1427</v>
      </c>
    </row>
    <row r="121" customFormat="false" ht="15" hidden="false" customHeight="false" outlineLevel="0" collapsed="false">
      <c r="A121" s="10" t="s">
        <v>1327</v>
      </c>
      <c r="B121" s="10" t="s">
        <v>873</v>
      </c>
      <c r="C121" s="10" t="s">
        <v>874</v>
      </c>
      <c r="D121" s="10" t="s">
        <v>1428</v>
      </c>
    </row>
    <row r="122" customFormat="false" ht="15" hidden="false" customHeight="false" outlineLevel="0" collapsed="false">
      <c r="A122" s="10" t="s">
        <v>1327</v>
      </c>
      <c r="B122" s="10" t="s">
        <v>1429</v>
      </c>
      <c r="C122" s="10" t="s">
        <v>1430</v>
      </c>
      <c r="D122" s="10" t="s">
        <v>1431</v>
      </c>
    </row>
    <row r="123" customFormat="false" ht="15" hidden="false" customHeight="false" outlineLevel="0" collapsed="false">
      <c r="A123" s="10" t="s">
        <v>1327</v>
      </c>
      <c r="B123" s="10" t="s">
        <v>1432</v>
      </c>
      <c r="C123" s="10" t="s">
        <v>1433</v>
      </c>
      <c r="D123" s="10" t="s">
        <v>1434</v>
      </c>
    </row>
    <row r="124" customFormat="false" ht="15" hidden="false" customHeight="false" outlineLevel="0" collapsed="false">
      <c r="A124" s="10" t="s">
        <v>1327</v>
      </c>
      <c r="B124" s="10" t="s">
        <v>1435</v>
      </c>
      <c r="C124" s="10" t="s">
        <v>1436</v>
      </c>
      <c r="D124" s="10" t="s">
        <v>1437</v>
      </c>
    </row>
    <row r="125" customFormat="false" ht="15" hidden="false" customHeight="false" outlineLevel="0" collapsed="false">
      <c r="A125" s="10" t="s">
        <v>1327</v>
      </c>
      <c r="B125" s="10" t="s">
        <v>1438</v>
      </c>
      <c r="C125" s="10" t="s">
        <v>1439</v>
      </c>
      <c r="D125" s="10" t="s">
        <v>1440</v>
      </c>
    </row>
    <row r="126" customFormat="false" ht="15" hidden="false" customHeight="false" outlineLevel="0" collapsed="false">
      <c r="A126" s="10" t="s">
        <v>1327</v>
      </c>
      <c r="B126" s="10" t="s">
        <v>1441</v>
      </c>
      <c r="C126" s="10" t="s">
        <v>1442</v>
      </c>
      <c r="D126" s="10" t="s">
        <v>1443</v>
      </c>
    </row>
    <row r="127" customFormat="false" ht="15" hidden="false" customHeight="false" outlineLevel="0" collapsed="false">
      <c r="A127" s="10" t="s">
        <v>1327</v>
      </c>
      <c r="B127" s="10" t="s">
        <v>1444</v>
      </c>
      <c r="C127" s="10" t="s">
        <v>1445</v>
      </c>
      <c r="D127" s="10" t="s">
        <v>1446</v>
      </c>
    </row>
    <row r="128" customFormat="false" ht="15" hidden="false" customHeight="false" outlineLevel="0" collapsed="false">
      <c r="A128" s="10" t="s">
        <v>1327</v>
      </c>
      <c r="B128" s="10" t="s">
        <v>1447</v>
      </c>
      <c r="C128" s="10" t="s">
        <v>1448</v>
      </c>
      <c r="D128" s="10" t="s">
        <v>1449</v>
      </c>
    </row>
    <row r="129" customFormat="false" ht="15" hidden="false" customHeight="false" outlineLevel="0" collapsed="false">
      <c r="A129" s="10" t="s">
        <v>1327</v>
      </c>
      <c r="B129" s="10" t="s">
        <v>1450</v>
      </c>
      <c r="C129" s="8" t="s">
        <v>1451</v>
      </c>
      <c r="D129" s="10" t="s">
        <v>1452</v>
      </c>
    </row>
    <row r="130" customFormat="false" ht="15" hidden="false" customHeight="false" outlineLevel="0" collapsed="false">
      <c r="A130" s="10" t="s">
        <v>1327</v>
      </c>
      <c r="B130" s="10" t="s">
        <v>909</v>
      </c>
      <c r="C130" s="10" t="s">
        <v>910</v>
      </c>
      <c r="D130" s="10" t="s">
        <v>1453</v>
      </c>
    </row>
    <row r="131" customFormat="false" ht="15" hidden="false" customHeight="false" outlineLevel="0" collapsed="false">
      <c r="A131" s="10" t="s">
        <v>1327</v>
      </c>
      <c r="B131" s="10" t="s">
        <v>1454</v>
      </c>
      <c r="C131" s="10" t="s">
        <v>1455</v>
      </c>
      <c r="D131" s="10" t="s">
        <v>1456</v>
      </c>
    </row>
    <row r="132" customFormat="false" ht="15" hidden="false" customHeight="false" outlineLevel="0" collapsed="false">
      <c r="A132" s="10" t="s">
        <v>1327</v>
      </c>
      <c r="B132" s="10" t="s">
        <v>705</v>
      </c>
      <c r="C132" s="10" t="s">
        <v>706</v>
      </c>
      <c r="D132" s="10" t="s">
        <v>1457</v>
      </c>
    </row>
    <row r="133" customFormat="false" ht="15" hidden="false" customHeight="false" outlineLevel="0" collapsed="false">
      <c r="A133" s="10" t="s">
        <v>1327</v>
      </c>
      <c r="B133" s="10" t="s">
        <v>1458</v>
      </c>
      <c r="C133" s="10" t="s">
        <v>1459</v>
      </c>
      <c r="D133" s="10" t="s">
        <v>1460</v>
      </c>
    </row>
    <row r="134" customFormat="false" ht="15" hidden="false" customHeight="false" outlineLevel="0" collapsed="false">
      <c r="A134" s="10" t="s">
        <v>1327</v>
      </c>
      <c r="B134" s="10" t="s">
        <v>1461</v>
      </c>
      <c r="C134" s="8" t="s">
        <v>1462</v>
      </c>
      <c r="D134" s="10" t="s">
        <v>1463</v>
      </c>
    </row>
    <row r="135" customFormat="false" ht="15" hidden="false" customHeight="false" outlineLevel="0" collapsed="false">
      <c r="A135" s="10" t="s">
        <v>1327</v>
      </c>
      <c r="B135" s="10" t="s">
        <v>1464</v>
      </c>
      <c r="C135" s="10" t="s">
        <v>1465</v>
      </c>
      <c r="D135" s="10" t="s">
        <v>1466</v>
      </c>
    </row>
    <row r="136" customFormat="false" ht="15" hidden="false" customHeight="false" outlineLevel="0" collapsed="false">
      <c r="A136" s="10" t="s">
        <v>1327</v>
      </c>
      <c r="B136" s="10" t="s">
        <v>1467</v>
      </c>
      <c r="C136" s="8" t="s">
        <v>1468</v>
      </c>
      <c r="D136" s="10" t="s">
        <v>1469</v>
      </c>
    </row>
    <row r="137" customFormat="false" ht="15" hidden="false" customHeight="false" outlineLevel="0" collapsed="false">
      <c r="A137" s="10" t="s">
        <v>1327</v>
      </c>
      <c r="B137" s="10" t="s">
        <v>1470</v>
      </c>
      <c r="C137" s="10" t="s">
        <v>1471</v>
      </c>
      <c r="D137" s="10" t="s">
        <v>1472</v>
      </c>
    </row>
    <row r="138" customFormat="false" ht="15" hidden="false" customHeight="false" outlineLevel="0" collapsed="false">
      <c r="A138" s="10" t="s">
        <v>1327</v>
      </c>
      <c r="B138" s="10" t="s">
        <v>1473</v>
      </c>
      <c r="C138" s="8" t="s">
        <v>1474</v>
      </c>
      <c r="D138" s="10" t="s">
        <v>1475</v>
      </c>
    </row>
  </sheetData>
  <autoFilter ref="A1:D1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2026-09-22T02:59:42Z</dcterms:created>
  <dc:creator>openpyxl</dc:creator>
  <dc:description/>
  <dc:language>en-US</dc:language>
  <cp:lastModifiedBy/>
  <dcterms:modified xsi:type="dcterms:W3CDTF">2026-09-22T02:59:42Z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