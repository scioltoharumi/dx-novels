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工程サマリー" sheetId="2" state="visible" r:id="rId4"/>
    <sheet name="タスク一覧" sheetId="3" state="visible" r:id="rId5"/>
    <sheet name="成果物一覧" sheetId="4" state="visible" r:id="rId6"/>
    <sheet name="手法・フレームワーク索引" sheetId="5" state="visible" r:id="rId7"/>
    <sheet name="整理軸" sheetId="6" state="visible" r:id="rId8"/>
  </sheets>
  <definedNames>
    <definedName function="false" hidden="true" localSheetId="2" name="_xlnm._FilterDatabase" vbProcedure="false">タスク一覧!$A$1:$K$95</definedName>
    <definedName function="false" hidden="true" localSheetId="3" name="_xlnm._FilterDatabase" vbProcedure="false">成果物一覧!$A$1:$I$95</definedName>
    <definedName function="false" hidden="true" localSheetId="4" name="_xlnm._FilterDatabase" vbProcedure="false">手法・フレームワーク索引!$A$1:$E$127</definedName>
    <definedName function="false" hidden="true" localSheetId="5" name="_xlnm._FilterDatabase" vbProcedure="false">整理軸!$A$1:$C$25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<sst xmlns="http://schemas.openxmlformats.org/spreadsheetml/2006/main" count="2590" uniqueCount="1545">
  <si>
    <t xml:space="preserve">業務改革プロジェクト 工程別タスク・成果物一覧（汎用版）</t>
  </si>
  <si>
    <r>
      <rPr>
        <sz val="10"/>
        <rFont val="WenQuanYi Zen Hei"/>
        <family val="2"/>
      </rPr>
      <t xml:space="preserve">業務改革（</t>
    </r>
    <r>
      <rPr>
        <sz val="10"/>
        <rFont val="Arial"/>
        <family val="0"/>
        <charset val="1"/>
      </rPr>
      <t xml:space="preserve">BPR</t>
    </r>
    <r>
      <rPr>
        <sz val="10"/>
        <rFont val="WenQuanYi Zen Hei"/>
        <family val="2"/>
      </rPr>
      <t xml:space="preserve">・業務システム導入）プロジェクトで、工程ごとに発生するタスクと、その成果物、完了基準、使う手法を紐づけた一覧。特定の案件や事例に依存しない汎用の型として整理している。</t>
    </r>
  </si>
  <si>
    <t xml:space="preserve">シート構成</t>
  </si>
  <si>
    <t xml:space="preserve">工程サマリー：九つの工程それぞれの目的、主な問い、節目（ゲート）と判断者、所要期間の目安、タスク数・成果物数（数式）。</t>
  </si>
  <si>
    <r>
      <rPr>
        <sz val="10"/>
        <rFont val="WenQuanYi Zen Hei"/>
        <family val="2"/>
      </rPr>
      <t xml:space="preserve">タスク一覧：工程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タスク。目的、主な成果物とその項目、実施者、承認者、完了基準、よくある失敗、使う手法・フレームワーク。</t>
    </r>
  </si>
  <si>
    <t xml:space="preserve">成果物一覧：成果物ごとの目的、主な項目、作成者、承認者、更新タイミング、関連手法、関連タスク数（数式）。</t>
  </si>
  <si>
    <t xml:space="preserve">手法・フレームワーク索引：手法ごとの分類、概要、使う場面、使うときの要点。</t>
  </si>
  <si>
    <t xml:space="preserve">整理軸：議論を枠に入れるための軸の一覧。一からフレームを作らずに済ませるための道具。</t>
  </si>
  <si>
    <t xml:space="preserve">使い方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</si>
  <si>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案件の現在の工程で「タスク一覧」を上から読み、各タスクの「完了基準」を満たしているかを確認する。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</si>
  <si>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満たしていないタスクの成果物を、「成果物一覧」の主な項目に沿って作る。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</si>
  <si>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議論が詰まったら「整理軸」で軸を選び、枠に入れて話す。枠に入らない論点が出たら枠を壊してよい。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</si>
  <si>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手法の名前が分からないときは「手法・フレームワーク索引」を引く。</t>
    </r>
  </si>
  <si>
    <t xml:space="preserve">編集の目安</t>
  </si>
  <si>
    <t xml:space="preserve">「タスク一覧」「成果物一覧」は案件用に複製し、担当・成果物名・完了基準を書き換えて使う。工程名を書き換える場合は三シート（工程サマリー・タスク一覧・成果物一覧）で揃えること（集計が数式で連動している）。</t>
  </si>
  <si>
    <r>
      <rPr>
        <sz val="10"/>
        <rFont val="WenQuanYi Zen Hei"/>
        <family val="2"/>
      </rPr>
      <t xml:space="preserve">役割の表記：スポンサー（経営層）＝投資と最終判断を行う経営者／</t>
    </r>
    <r>
      <rPr>
        <sz val="10"/>
        <rFont val="Arial"/>
        <family val="0"/>
        <charset val="1"/>
      </rPr>
      <t xml:space="preserve">PM</t>
    </r>
    <r>
      <rPr>
        <sz val="10"/>
        <rFont val="WenQuanYi Zen Hei"/>
        <family val="2"/>
      </rPr>
      <t xml:space="preserve">＝プロジェクトマネージャー／</t>
    </r>
    <r>
      <rPr>
        <sz val="10"/>
        <rFont val="Arial"/>
        <family val="0"/>
        <charset val="1"/>
      </rPr>
      <t xml:space="preserve">PMO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補佐・事務局／業務オーナー＝各業務の決定責任者／キーユーザー＝部署ごとの先行利用者／ベンダー＝製品・導入支援の提供者／開発チーム＝連携等を作る社内外の技術者／情報システム・法務＝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・契約・統制の担当。</t>
    </r>
  </si>
  <si>
    <t xml:space="preserve">所要期間の目安は中規模（要員数十名、数か月〜一年）の業務システム導入を想定した例であり、案件により大きく変わる。</t>
  </si>
  <si>
    <t xml:space="preserve">凡例</t>
  </si>
  <si>
    <t xml:space="preserve">工程列の色は工程の区別のみを表す。数式セル（タスク数・成果物数・関連タスク数）は書き換えない。</t>
  </si>
  <si>
    <t xml:space="preserve">工程</t>
  </si>
  <si>
    <t xml:space="preserve">目的</t>
  </si>
  <si>
    <t xml:space="preserve">主な問い</t>
  </si>
  <si>
    <t xml:space="preserve">節目（ゲート）と判断者</t>
  </si>
  <si>
    <t xml:space="preserve">所要期間の目安</t>
  </si>
  <si>
    <t xml:space="preserve">タスク数</t>
  </si>
  <si>
    <t xml:space="preserve">成果物数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</si>
  <si>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現状分析（</t>
    </r>
    <r>
      <rPr>
        <sz val="10"/>
        <rFont val="Arial"/>
        <family val="0"/>
        <charset val="1"/>
      </rPr>
      <t xml:space="preserve">As-Is</t>
    </r>
    <r>
      <rPr>
        <sz val="10"/>
        <rFont val="WenQuanYi Zen Hei"/>
        <family val="2"/>
      </rPr>
      <t xml:space="preserve">）</t>
    </r>
  </si>
  <si>
    <t xml:space="preserve">現状を件数・時間・金額で把握し、経営課題を数字に翻訳する</t>
  </si>
  <si>
    <t xml:space="preserve">何が、どこで、どれだけ起きているか。手段の要望の裏にある目的は何か</t>
  </si>
  <si>
    <r>
      <rPr>
        <sz val="10"/>
        <rFont val="Arial"/>
        <family val="0"/>
        <charset val="1"/>
      </rPr>
      <t xml:space="preserve">As-Is </t>
    </r>
    <r>
      <rPr>
        <sz val="10"/>
        <rFont val="WenQuanYi Zen Hei"/>
        <family val="2"/>
      </rPr>
      <t xml:space="preserve">報告を経営層が承認し、課題を数字で言い直せる（判断者：スポンサー）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</si>
  <si>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週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</si>
  <si>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構想策定（</t>
    </r>
    <r>
      <rPr>
        <sz val="10"/>
        <rFont val="Arial"/>
        <family val="0"/>
        <charset val="1"/>
      </rPr>
      <t xml:space="preserve">To-Be</t>
    </r>
    <r>
      <rPr>
        <sz val="10"/>
        <rFont val="WenQuanYi Zen Hei"/>
        <family val="2"/>
      </rPr>
      <t xml:space="preserve">・構想書）</t>
    </r>
  </si>
  <si>
    <t xml:space="preserve">業務の変え方を先に決め、目的・効果・体制・対象外を一枚に固める</t>
  </si>
  <si>
    <t xml:space="preserve">業務をどこまで変えるか。何をやらないか。誰が決めるか</t>
  </si>
  <si>
    <t xml:space="preserve">構想書に経営層が承認（ゲート①。判断者：スポンサー）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</si>
  <si>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週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</si>
  <si>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要件定義</t>
    </r>
  </si>
  <si>
    <t xml:space="preserve">無いと目的が達成できない要件を三層で書き、優先度を付けて凍結する</t>
  </si>
  <si>
    <t xml:space="preserve">要件と要望の境目はどこか。合格の条件は何か</t>
  </si>
  <si>
    <r>
      <rPr>
        <sz val="10"/>
        <rFont val="WenQuanYi Zen Hei"/>
        <family val="2"/>
      </rPr>
      <t xml:space="preserve">要件定義書 </t>
    </r>
    <r>
      <rPr>
        <sz val="10"/>
        <rFont val="Arial"/>
        <family val="0"/>
        <charset val="1"/>
      </rPr>
      <t xml:space="preserve">v1.0 </t>
    </r>
    <r>
      <rPr>
        <sz val="10"/>
        <rFont val="WenQuanYi Zen Hei"/>
        <family val="2"/>
      </rPr>
      <t xml:space="preserve">を凍結し、業務オーナー署名と経営承認（ゲート②。判断者：スポンサー）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</si>
  <si>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週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</si>
  <si>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方式選定・調達・契約</t>
    </r>
  </si>
  <si>
    <t xml:space="preserve">作る・買う・借りるを決め、基準で選び、境目と出口を契約に書く</t>
  </si>
  <si>
    <t xml:space="preserve">自社の業務は独特か。総額と手作業で比べたか。出口はあるか</t>
  </si>
  <si>
    <t xml:space="preserve">選定と契約を承認（判断者：スポンサー／ステアリングコミッティ）</t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</si>
  <si>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設計</t>
    </r>
  </si>
  <si>
    <t xml:space="preserve">設定・開発の前に紙で合意し、未決事項を業務オーナーに決めさせる</t>
  </si>
  <si>
    <t xml:space="preserve">異常時に何が起きるか。決めていないことは何か</t>
  </si>
  <si>
    <r>
      <rPr>
        <sz val="10"/>
        <rFont val="WenQuanYi Zen Hei"/>
        <family val="2"/>
      </rPr>
      <t xml:space="preserve">基本設計書 </t>
    </r>
    <r>
      <rPr>
        <sz val="10"/>
        <rFont val="Arial"/>
        <family val="0"/>
        <charset val="1"/>
      </rPr>
      <t xml:space="preserve">v1.0 </t>
    </r>
    <r>
      <rPr>
        <sz val="10"/>
        <rFont val="WenQuanYi Zen Hei"/>
        <family val="2"/>
      </rPr>
      <t xml:space="preserve">を業務オーナーが承認（判断者：業務オーナー）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</si>
  <si>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週</t>
    </r>
  </si>
  <si>
    <r>
      <rPr>
        <sz val="10"/>
        <rFont val="Arial"/>
        <family val="0"/>
        <charset val="1"/>
      </rPr>
      <t xml:space="preserve">6. </t>
    </r>
    <r>
      <rPr>
        <sz val="10"/>
        <rFont val="WenQuanYi Zen Hei"/>
        <family val="2"/>
      </rPr>
      <t xml:space="preserve">開発・プロジェクト管理</t>
    </r>
  </si>
  <si>
    <t xml:space="preserve">クリティカルパスに予備を置き、作業名で進捗を追い、変更を手順に乗せる</t>
  </si>
  <si>
    <t xml:space="preserve">一日遅れたら期限が遅れる作業はどれか。残作業は何か</t>
  </si>
  <si>
    <r>
      <rPr>
        <sz val="10"/>
        <rFont val="WenQuanYi Zen Hei"/>
        <family val="2"/>
      </rPr>
      <t xml:space="preserve">各マイルストーンを通過条件で判定（判断者：</t>
    </r>
    <r>
      <rPr>
        <sz val="10"/>
        <rFont val="Arial"/>
        <family val="0"/>
        <charset val="1"/>
      </rPr>
      <t xml:space="preserve">PM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</si>
  <si>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週</t>
    </r>
  </si>
  <si>
    <r>
      <rPr>
        <sz val="10"/>
        <rFont val="Arial"/>
        <family val="0"/>
        <charset val="1"/>
      </rPr>
      <t xml:space="preserve">7. </t>
    </r>
    <r>
      <rPr>
        <sz val="10"/>
        <rFont val="WenQuanYi Zen Hei"/>
        <family val="2"/>
      </rPr>
      <t xml:space="preserve">テスト</t>
    </r>
  </si>
  <si>
    <t xml:space="preserve">異常系・境界値まで試し、修正のたびに全て流し、事前基準で受入判定する</t>
  </si>
  <si>
    <t xml:space="preserve">正常系以外を試したか。修正で隣が壊れていないか</t>
  </si>
  <si>
    <r>
      <rPr>
        <sz val="10"/>
        <rFont val="Arial"/>
        <family val="0"/>
        <charset val="1"/>
      </rPr>
      <t xml:space="preserve">UAT </t>
    </r>
    <r>
      <rPr>
        <sz val="10"/>
        <rFont val="WenQuanYi Zen Hei"/>
        <family val="2"/>
      </rPr>
      <t xml:space="preserve">合格に業務オーナーが署名（ゲート③。判断者：業務オーナー）</t>
    </r>
  </si>
  <si>
    <r>
      <rPr>
        <sz val="10"/>
        <rFont val="Arial"/>
        <family val="0"/>
        <charset val="1"/>
      </rPr>
      <t xml:space="preserve">8. </t>
    </r>
    <r>
      <rPr>
        <sz val="10"/>
        <rFont val="WenQuanYi Zen Hei"/>
        <family val="2"/>
      </rPr>
      <t xml:space="preserve">移行・本番切替</t>
    </r>
  </si>
  <si>
    <t xml:space="preserve">戻せる形で切り替え、二回リハーサルし、表で判定する</t>
  </si>
  <si>
    <t xml:space="preserve">戻す基準は何か。凍結中の取引はどうするか。誰も気づかない切替になっているか</t>
  </si>
  <si>
    <t xml:space="preserve">カットオーバー判定表に経営層が承認（判断者：スポンサー）</t>
  </si>
  <si>
    <r>
      <rPr>
        <sz val="10"/>
        <rFont val="Arial"/>
        <family val="0"/>
        <charset val="1"/>
      </rPr>
      <t xml:space="preserve">9. </t>
    </r>
    <r>
      <rPr>
        <sz val="10"/>
        <rFont val="WenQuanYi Zen Hei"/>
        <family val="2"/>
      </rPr>
      <t xml:space="preserve">定着・運用移行</t>
    </r>
  </si>
  <si>
    <t xml:space="preserve">使われない理由を四つに分けて手を打ち、運用設計と効果測定を残す</t>
  </si>
  <si>
    <t xml:space="preserve">旧手段は残っていないか。効果は誰が測るか。終了後に誰が触るか</t>
  </si>
  <si>
    <t xml:space="preserve">効果測定を経営会議で報告し、運用設計書を業務オーナーが承認（判断者：スポンサー／業務オーナー）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</si>
  <si>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週（効果測定は半年）</t>
    </r>
  </si>
  <si>
    <t xml:space="preserve">合計</t>
  </si>
  <si>
    <r>
      <rPr>
        <i val="true"/>
        <sz val="9"/>
        <rFont val="WenQuanYi Zen Hei"/>
        <family val="2"/>
      </rPr>
      <t xml:space="preserve">注：タスク数・成果物数は各シートの「工程」列を </t>
    </r>
    <r>
      <rPr>
        <i val="true"/>
        <sz val="9"/>
        <rFont val="Arial"/>
        <family val="0"/>
        <charset val="1"/>
      </rPr>
      <t xml:space="preserve">COUNTIF </t>
    </r>
    <r>
      <rPr>
        <i val="true"/>
        <sz val="9"/>
        <rFont val="WenQuanYi Zen Hei"/>
        <family val="2"/>
      </rPr>
      <t xml:space="preserve">で数えた数式。所要期間は中規模案件の目安で、案件により大きく変わる。</t>
    </r>
  </si>
  <si>
    <t xml:space="preserve">ID</t>
  </si>
  <si>
    <t xml:space="preserve">タスク</t>
  </si>
  <si>
    <t xml:space="preserve">主な成果物</t>
  </si>
  <si>
    <t xml:space="preserve">成果物の主な項目</t>
  </si>
  <si>
    <t xml:space="preserve">実施者</t>
  </si>
  <si>
    <t xml:space="preserve">承認者</t>
  </si>
  <si>
    <t xml:space="preserve">完了基準</t>
  </si>
  <si>
    <t xml:space="preserve">よくある失敗</t>
  </si>
  <si>
    <t xml:space="preserve">使う手法・フレームワーク</t>
  </si>
  <si>
    <t xml:space="preserve">T01</t>
  </si>
  <si>
    <t xml:space="preserve">経営者の意図を確認し、改善か改革かを揃える</t>
  </si>
  <si>
    <t xml:space="preserve">「システムを入れろ」等の手段の言葉を、解決したい経営課題（目的）に翻訳し、現行の高速化（改善）か業務の作り直し（改革）かを確定する</t>
  </si>
  <si>
    <t xml:space="preserve">プロジェクト前提メモ</t>
  </si>
  <si>
    <t xml:space="preserve">背景、経営課題（目的）、改善／改革の別、予算上限、期限、対象外、判断者</t>
  </si>
  <si>
    <t xml:space="preserve">PM</t>
  </si>
  <si>
    <t xml:space="preserve">スポンサー（経営層）</t>
  </si>
  <si>
    <t xml:space="preserve">経営者が改善／改革の別と目的を自分の言葉で承認した記録があり、予算と期限が数字で書かれている</t>
  </si>
  <si>
    <t xml:space="preserve">経営者は改善のつもり、推進側は改革のつもりで進め、数か月後に衝突する</t>
  </si>
  <si>
    <r>
      <rPr>
        <sz val="10"/>
        <rFont val="WenQuanYi Zen Hei"/>
        <family val="2"/>
      </rPr>
      <t xml:space="preserve">業務改善と業務改革（</t>
    </r>
    <r>
      <rPr>
        <sz val="10"/>
        <rFont val="Arial"/>
        <family val="0"/>
        <charset val="1"/>
      </rPr>
      <t xml:space="preserve">Kaizen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BPR</t>
    </r>
    <r>
      <rPr>
        <sz val="10"/>
        <rFont val="WenQuanYi Zen Hei"/>
        <family val="2"/>
      </rPr>
      <t xml:space="preserve">）の区別</t>
    </r>
  </si>
  <si>
    <t xml:space="preserve">T02</t>
  </si>
  <si>
    <t xml:space="preserve">仮説を立ててから調査に入る</t>
  </si>
  <si>
    <t xml:space="preserve">調査対象を絞り、集めた事実を判断に使える形にする。外れた仮説も記録する</t>
  </si>
  <si>
    <t xml:space="preserve">仮説メモ</t>
  </si>
  <si>
    <t xml:space="preserve">初期仮説、根拠、確認方法、確認結果（当たり／外れ）</t>
  </si>
  <si>
    <t xml:space="preserve">―</t>
  </si>
  <si>
    <t xml:space="preserve">仮説が一文で書かれ、調査項目がそれに紐づき、確認結果が追記されている</t>
  </si>
  <si>
    <t xml:space="preserve">仮説なしで観察し、メモが山になって結論が出ない</t>
  </si>
  <si>
    <t xml:space="preserve">仮説思考</t>
  </si>
  <si>
    <t xml:space="preserve">T03</t>
  </si>
  <si>
    <t xml:space="preserve">現場観察を行う（部署ごとに一日以上）</t>
  </si>
  <si>
    <t xml:space="preserve">手順書ではなく実態を、件数・時間・金額で把握する</t>
  </si>
  <si>
    <t xml:space="preserve">現場観察記録</t>
  </si>
  <si>
    <t xml:space="preserve">部署、担当者、作業、件数／日、分／件、使用ツール、手順書との差</t>
  </si>
  <si>
    <t xml:space="preserve">PMO</t>
  </si>
  <si>
    <t xml:space="preserve">対象業務の全工程を、誰かが現場で目視した記録がある。手順書と実態の差が列挙されている</t>
  </si>
  <si>
    <t xml:space="preserve">手順書や既存資料の転記を現状分析と呼ぶ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</si>
  <si>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現主義（現場・現物・現実）</t>
    </r>
  </si>
  <si>
    <t xml:space="preserve">T04</t>
  </si>
  <si>
    <t xml:space="preserve">転記・再入力箇所を数える</t>
  </si>
  <si>
    <t xml:space="preserve">同じ情報を人が何回転記しているかを数え、ミスの発生源を特定する</t>
  </si>
  <si>
    <t xml:space="preserve">転記マップ</t>
  </si>
  <si>
    <t xml:space="preserve">代表的な一件の情報が通る経路、転記回数、各転記の確認者の有無</t>
  </si>
  <si>
    <t xml:space="preserve">代表ケースについて転記箇所が番号付きで列挙され、確認者の有無が明記されている</t>
  </si>
  <si>
    <t xml:space="preserve">転記回数を数えず「入力を速くする」施策に飛ぶ</t>
  </si>
  <si>
    <t xml:space="preserve">データフロー分析</t>
  </si>
  <si>
    <t xml:space="preserve">T05</t>
  </si>
  <si>
    <t xml:space="preserve">リードタイムを作業時間と待ち時間に分解する</t>
  </si>
  <si>
    <t xml:space="preserve">短縮すべきは作業時間より待ち時間であることを数字で示す</t>
  </si>
  <si>
    <t xml:space="preserve">リードタイム分析表</t>
  </si>
  <si>
    <t xml:space="preserve">工程、各工程の作業時間、待ち時間、合計、作業時間比率</t>
  </si>
  <si>
    <t xml:space="preserve">合計リードタイムに対する待ち時間の比率が算出されている</t>
  </si>
  <si>
    <t xml:space="preserve">手を動かす時間だけを速くし、待ち時間が残る</t>
  </si>
  <si>
    <t xml:space="preserve">リードタイム分析／バリューストリームマッピング</t>
  </si>
  <si>
    <t xml:space="preserve">T06</t>
  </si>
  <si>
    <t xml:space="preserve">業務を頻度つきで棚卸しする</t>
  </si>
  <si>
    <t xml:space="preserve">短期の観察では見えない月次・年次業務を拾う</t>
  </si>
  <si>
    <t xml:space="preserve">業務一覧（頻度つき）</t>
  </si>
  <si>
    <t xml:space="preserve">業務名、担当、頻度（日／週／月／年）、所要時間、使用帳票、システム</t>
  </si>
  <si>
    <t xml:space="preserve">業務オーナー</t>
  </si>
  <si>
    <t xml:space="preserve">月次・年次の業務が含まれ、帳票一覧から逆引きして抜けを確認した記録がある</t>
  </si>
  <si>
    <t xml:space="preserve">担当者が「仕事」と認識していない業務（返品対応、後始末）が抜ける</t>
  </si>
  <si>
    <t xml:space="preserve">業務棚卸し</t>
  </si>
  <si>
    <t xml:space="preserve">T07</t>
  </si>
  <si>
    <r>
      <rPr>
        <sz val="10"/>
        <rFont val="WenQuanYi Zen Hei"/>
        <family val="2"/>
      </rPr>
      <t xml:space="preserve">帳票と隠れ業務（個人管理の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等）を洗い出す</t>
    </r>
  </si>
  <si>
    <t xml:space="preserve">公式手順に無い個人作業や野良ファイルを見つけ、移行と二重管理の対象を把握する</t>
  </si>
  <si>
    <t xml:space="preserve">帳票一覧、隠れ業務リスト</t>
  </si>
  <si>
    <t xml:space="preserve">帳票名、保管場所、作成者、利用者、手順書記載の有無、無い場合の影響</t>
  </si>
  <si>
    <t xml:space="preserve">手順書に無い帳票・作業が別行で列挙されている</t>
  </si>
  <si>
    <t xml:space="preserve">隠れ業務を本体の工数に合算し、対策対象として見えなくなる</t>
  </si>
  <si>
    <t xml:space="preserve">シャドーワーク分析／帳票棚卸し</t>
  </si>
  <si>
    <t xml:space="preserve">T08</t>
  </si>
  <si>
    <t xml:space="preserve">業務フロー図（スイムレーン）を描く</t>
  </si>
  <si>
    <t xml:space="preserve">部署間の受け渡し（レーンを跨ぐ矢印）の数として転記と待ちを可視化する</t>
  </si>
  <si>
    <r>
      <rPr>
        <sz val="10"/>
        <rFont val="Arial"/>
        <family val="0"/>
        <charset val="1"/>
      </rPr>
      <t xml:space="preserve">As-Is </t>
    </r>
    <r>
      <rPr>
        <sz val="10"/>
        <rFont val="WenQuanYi Zen Hei"/>
        <family val="2"/>
      </rPr>
      <t xml:space="preserve">業務フロー図</t>
    </r>
  </si>
  <si>
    <r>
      <rPr>
        <sz val="10"/>
        <rFont val="WenQuanYi Zen Hei"/>
        <family val="2"/>
      </rPr>
      <t xml:space="preserve">経路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工程の表、部署別レーン、レーンを跨ぐ矢印の本数</t>
    </r>
  </si>
  <si>
    <t xml:space="preserve">全対象経路が同じ記法で描かれ、跨ぐ矢印が数えられている</t>
  </si>
  <si>
    <t xml:space="preserve">経路ごとに記法が違い、差分が比較できない</t>
  </si>
  <si>
    <r>
      <rPr>
        <sz val="10"/>
        <rFont val="WenQuanYi Zen Hei"/>
        <family val="2"/>
      </rPr>
      <t xml:space="preserve">業務フロー図（スイムレーン／</t>
    </r>
    <r>
      <rPr>
        <sz val="10"/>
        <rFont val="Arial"/>
        <family val="0"/>
        <charset val="1"/>
      </rPr>
      <t xml:space="preserve">BPMN</t>
    </r>
    <r>
      <rPr>
        <sz val="10"/>
        <rFont val="WenQuanYi Zen Hei"/>
        <family val="2"/>
      </rPr>
      <t xml:space="preserve">）</t>
    </r>
  </si>
  <si>
    <t xml:space="preserve">T09</t>
  </si>
  <si>
    <r>
      <rPr>
        <sz val="10"/>
        <rFont val="WenQuanYi Zen Hei"/>
        <family val="2"/>
      </rPr>
      <t xml:space="preserve">手作業を件数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時間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単価で金額換算する</t>
    </r>
  </si>
  <si>
    <t xml:space="preserve">経営判断に使える単位（金額）に落とす</t>
  </si>
  <si>
    <t xml:space="preserve">業務量調査表</t>
  </si>
  <si>
    <t xml:space="preserve">担当別の件数、分／件、時間／月、年額換算、隠れ業務（別行）</t>
  </si>
  <si>
    <t xml:space="preserve">合計時間と年額換算が出ており、自己申告値の補正方法が注記されている</t>
  </si>
  <si>
    <t xml:space="preserve">発言力の大きい部門の負荷が過大に、静かな部門の負荷が過小に見積もられる</t>
  </si>
  <si>
    <t xml:space="preserve">業務量調査（タイムスタディ／ワークサンプリング）</t>
  </si>
  <si>
    <t xml:space="preserve">T10</t>
  </si>
  <si>
    <t xml:space="preserve">事故・ミスを分類し多い順に並べる</t>
  </si>
  <si>
    <t xml:space="preserve">対策の優先順位を決める</t>
  </si>
  <si>
    <t xml:space="preserve">事故・ミス一覧</t>
  </si>
  <si>
    <t xml:space="preserve">種類、件数、金額影響、取引先影響、発生頻度順</t>
  </si>
  <si>
    <t xml:space="preserve">上位一〜二種類で大半を占めることが数字で確認できる</t>
  </si>
  <si>
    <t xml:space="preserve">全種類に均等に対策を打つ</t>
  </si>
  <si>
    <t xml:space="preserve">パレート分析</t>
  </si>
  <si>
    <t xml:space="preserve">T11</t>
  </si>
  <si>
    <t xml:space="preserve">定常業務と非定常業務（月末・期末・繁忙期）を分けて把握する</t>
  </si>
  <si>
    <t xml:space="preserve">観察期間に見えないピークを要件に反映する</t>
  </si>
  <si>
    <t xml:space="preserve">非定常業務メモ</t>
  </si>
  <si>
    <t xml:space="preserve">非定常の種類、発生時期、件数倍率、担当の稼働</t>
  </si>
  <si>
    <t xml:space="preserve">ピーク時の件数倍率が数字で記録され、非機能要件の入力になっている</t>
  </si>
  <si>
    <t xml:space="preserve">平常時で試験して月末に性能が出ない</t>
  </si>
  <si>
    <t xml:space="preserve">定常・非定常の分離</t>
  </si>
  <si>
    <t xml:space="preserve">T12</t>
  </si>
  <si>
    <t xml:space="preserve">現状分析結果を経営層に報告する</t>
  </si>
  <si>
    <t xml:space="preserve">「システムを入れる」を「月◯時間と年◯件の事故をどうするか」という課題に置き換える</t>
  </si>
  <si>
    <r>
      <rPr>
        <sz val="10"/>
        <rFont val="Arial"/>
        <family val="0"/>
        <charset val="1"/>
      </rPr>
      <t xml:space="preserve">As-Is </t>
    </r>
    <r>
      <rPr>
        <sz val="10"/>
        <rFont val="WenQuanYi Zen Hei"/>
        <family val="2"/>
      </rPr>
      <t xml:space="preserve">報告書</t>
    </r>
  </si>
  <si>
    <t xml:space="preserve">課題の数値化（工数・事故）、転記マップ、リードタイム、業務一覧の要約、仮説の検証結果</t>
  </si>
  <si>
    <t xml:space="preserve">経営者が課題を数字で言い直せる状態になっている</t>
  </si>
  <si>
    <r>
      <rPr>
        <sz val="10"/>
        <rFont val="WenQuanYi Zen Hei"/>
        <family val="2"/>
      </rPr>
      <t xml:space="preserve">手順書の写しを </t>
    </r>
    <r>
      <rPr>
        <sz val="10"/>
        <rFont val="Arial"/>
        <family val="0"/>
        <charset val="1"/>
      </rPr>
      <t xml:space="preserve">As-Is </t>
    </r>
    <r>
      <rPr>
        <sz val="10"/>
        <rFont val="WenQuanYi Zen Hei"/>
        <family val="2"/>
      </rPr>
      <t xml:space="preserve">として提出する</t>
    </r>
  </si>
  <si>
    <t xml:space="preserve">経営課題・業務課題の翻訳</t>
  </si>
  <si>
    <t xml:space="preserve">T13</t>
  </si>
  <si>
    <t xml:space="preserve">論点を階層化する（大論点→中論点→小論点）</t>
  </si>
  <si>
    <t xml:space="preserve">業務の論点とシステムの論点を分けて、決める人を明確にする</t>
  </si>
  <si>
    <t xml:space="preserve">論点ツリー</t>
  </si>
  <si>
    <t xml:space="preserve">大論点、中論点、小論点、業務／システムの別、決定者</t>
  </si>
  <si>
    <t xml:space="preserve">各中論点に「業務で決めること」「システムで決めること」の別と決定者が付いている</t>
  </si>
  <si>
    <t xml:space="preserve">「◯◯システムを入れる」がそのまま論点になり、業務の議論が抜ける</t>
  </si>
  <si>
    <r>
      <rPr>
        <sz val="10"/>
        <rFont val="WenQuanYi Zen Hei"/>
        <family val="2"/>
      </rPr>
      <t xml:space="preserve">論点設計／イシューツリー／</t>
    </r>
    <r>
      <rPr>
        <sz val="10"/>
        <rFont val="Arial"/>
        <family val="0"/>
        <charset val="1"/>
      </rPr>
      <t xml:space="preserve">MECE</t>
    </r>
  </si>
  <si>
    <t xml:space="preserve">T14</t>
  </si>
  <si>
    <t xml:space="preserve">あるべき姿→問題→課題→原因→真因を整理する</t>
  </si>
  <si>
    <t xml:space="preserve">問題（差）と課題（やること）を混同せず、真因への対策を持つ</t>
  </si>
  <si>
    <t xml:space="preserve">課題構造シート</t>
  </si>
  <si>
    <t xml:space="preserve">あるべき姿、問題、課題、原因、真因、原因への対策、真因への対策</t>
  </si>
  <si>
    <t xml:space="preserve">真因が構造（誰も全体を持っていない等）で書かれ、システム以外の対策が併記されている</t>
  </si>
  <si>
    <t xml:space="preserve">構想書が症状の羅列（愚痴）になる。真因を放置し再発する</t>
  </si>
  <si>
    <t xml:space="preserve">課題解決の五階層（あるべき姿・問題・課題・原因・真因）</t>
  </si>
  <si>
    <t xml:space="preserve">T15</t>
  </si>
  <si>
    <t xml:space="preserve">原因を人・プロセス・ルール・システムに分類する</t>
  </si>
  <si>
    <t xml:space="preserve">システムで解ける範囲を明確にし、業務側の対策を先に決める</t>
  </si>
  <si>
    <t xml:space="preserve">原因分類表</t>
  </si>
  <si>
    <t xml:space="preserve">事象ごとの原因分類（四区分）、対策の主体（業務／システム）</t>
  </si>
  <si>
    <t xml:space="preserve">事象ごとに四区分のいずれかに置かれ、業務で直す対策が決まっている</t>
  </si>
  <si>
    <t xml:space="preserve">全ての原因をシステムで解こうとする</t>
  </si>
  <si>
    <t xml:space="preserve">人・プロセス・ルール・システムの四分類</t>
  </si>
  <si>
    <t xml:space="preserve">T16</t>
  </si>
  <si>
    <r>
      <rPr>
        <sz val="10"/>
        <rFont val="WenQuanYi Zen Hei"/>
        <family val="2"/>
      </rPr>
      <t xml:space="preserve">業務の変え方（</t>
    </r>
    <r>
      <rPr>
        <sz val="10"/>
        <rFont val="Arial"/>
        <family val="0"/>
        <charset val="1"/>
      </rPr>
      <t xml:space="preserve">To-Be </t>
    </r>
    <r>
      <rPr>
        <sz val="10"/>
        <rFont val="WenQuanYi Zen Hei"/>
        <family val="2"/>
      </rPr>
      <t xml:space="preserve">方針）を業務オーナーと決める</t>
    </r>
  </si>
  <si>
    <t xml:space="preserve">システムより先に、業務をどこまで変えるかを決める</t>
  </si>
  <si>
    <r>
      <rPr>
        <sz val="10"/>
        <rFont val="Arial"/>
        <family val="0"/>
        <charset val="1"/>
      </rPr>
      <t xml:space="preserve">To-Be </t>
    </r>
    <r>
      <rPr>
        <sz val="10"/>
        <rFont val="WenQuanYi Zen Hei"/>
        <family val="2"/>
      </rPr>
      <t xml:space="preserve">業務方針</t>
    </r>
  </si>
  <si>
    <t xml:space="preserve">経路・工程ごとの変更方針、残す業務、廃止する業務、業務オーナーの決定</t>
  </si>
  <si>
    <t xml:space="preserve">各業務について「変える／残す／やめる」が業務オーナーの名前で決まっている</t>
  </si>
  <si>
    <t xml:space="preserve">ベンダーや情報システム部門が業務を決めてしまう</t>
  </si>
  <si>
    <r>
      <rPr>
        <sz val="10"/>
        <rFont val="Arial"/>
        <family val="0"/>
        <charset val="1"/>
      </rPr>
      <t xml:space="preserve">To-Be </t>
    </r>
    <r>
      <rPr>
        <sz val="10"/>
        <rFont val="WenQuanYi Zen Hei"/>
        <family val="2"/>
      </rPr>
      <t xml:space="preserve">設計</t>
    </r>
  </si>
  <si>
    <t xml:space="preserve">T17</t>
  </si>
  <si>
    <r>
      <rPr>
        <sz val="10"/>
        <rFont val="WenQuanYi Zen Hei"/>
        <family val="2"/>
      </rPr>
      <t xml:space="preserve">工程を足す前に減らす（</t>
    </r>
    <r>
      <rPr>
        <sz val="10"/>
        <rFont val="Arial"/>
        <family val="0"/>
        <charset val="1"/>
      </rPr>
      <t xml:space="preserve">ECRS</t>
    </r>
    <r>
      <rPr>
        <sz val="10"/>
        <rFont val="WenQuanYi Zen Hei"/>
        <family val="2"/>
      </rPr>
      <t xml:space="preserve">）</t>
    </r>
  </si>
  <si>
    <t xml:space="preserve">なくす→まとめる→順番を変える→簡素化する、の順で見直す</t>
  </si>
  <si>
    <t xml:space="preserve">工程見直し表</t>
  </si>
  <si>
    <r>
      <rPr>
        <sz val="10"/>
        <rFont val="WenQuanYi Zen Hei"/>
        <family val="2"/>
      </rPr>
      <t xml:space="preserve">対象工程、</t>
    </r>
    <r>
      <rPr>
        <sz val="10"/>
        <rFont val="Arial"/>
        <family val="0"/>
        <charset val="1"/>
      </rPr>
      <t xml:space="preserve">E/C/R/S </t>
    </r>
    <r>
      <rPr>
        <sz val="10"/>
        <rFont val="WenQuanYi Zen Hei"/>
        <family val="2"/>
      </rPr>
      <t xml:space="preserve">の適用、七つのムダの該当、判断</t>
    </r>
  </si>
  <si>
    <t xml:space="preserve">確認工程などを追加する前に、削減・統合の検討記録がある</t>
  </si>
  <si>
    <t xml:space="preserve">チェック工程を足すだけで転記工程が残る</t>
  </si>
  <si>
    <r>
      <rPr>
        <sz val="10"/>
        <rFont val="Arial"/>
        <family val="0"/>
        <charset val="1"/>
      </rPr>
      <t xml:space="preserve">ECRS</t>
    </r>
    <r>
      <rPr>
        <sz val="10"/>
        <rFont val="WenQuanYi Zen Hei"/>
        <family val="2"/>
      </rPr>
      <t xml:space="preserve">／リーン（七つのムダ）／ゼロベース思考</t>
    </r>
  </si>
  <si>
    <t xml:space="preserve">T18</t>
  </si>
  <si>
    <t xml:space="preserve">承認・チェック工程を「止めるため」に設計する</t>
  </si>
  <si>
    <t xml:space="preserve">全件承認による承認者のボトルネック化を防ぐ</t>
  </si>
  <si>
    <t xml:space="preserve">業務ルール（承認条件）</t>
  </si>
  <si>
    <t xml:space="preserve">承認が必要な条件（金額・数量・初回・単価差等）、承認者、通知方法、全件承認とする場合の理由</t>
  </si>
  <si>
    <t xml:space="preserve">承認条件が表で決まり、全件承認を選ぶ場合は「意図的な判断」として記録されている</t>
  </si>
  <si>
    <t xml:space="preserve">承認が「見るため」の工程になり、承認者が最も遅い工程になる</t>
  </si>
  <si>
    <r>
      <rPr>
        <sz val="10"/>
        <rFont val="WenQuanYi Zen Hei"/>
        <family val="2"/>
      </rPr>
      <t xml:space="preserve">制約理論（</t>
    </r>
    <r>
      <rPr>
        <sz val="10"/>
        <rFont val="Arial"/>
        <family val="0"/>
        <charset val="1"/>
      </rPr>
      <t xml:space="preserve">TOC</t>
    </r>
    <r>
      <rPr>
        <sz val="10"/>
        <rFont val="WenQuanYi Zen Hei"/>
        <family val="2"/>
      </rPr>
      <t xml:space="preserve">）／承認設計</t>
    </r>
  </si>
  <si>
    <t xml:space="preserve">T19</t>
  </si>
  <si>
    <t xml:space="preserve">業務を判断・処理・例外に仕分ける</t>
  </si>
  <si>
    <t xml:space="preserve">自動化対象（処理）と人に残す対象（判断）と例外の扱いを決める</t>
  </si>
  <si>
    <t xml:space="preserve">業務三分類表</t>
  </si>
  <si>
    <t xml:space="preserve">業務ごとの分類、処理の自動化方針、判断の担い手、例外の件数と扱い（手作業／型化）</t>
  </si>
  <si>
    <t xml:space="preserve">例外の件数が把握され、低頻度の例外は手作業とする判断が記録されている</t>
  </si>
  <si>
    <t xml:space="preserve">例外を全てシステムに取り込み要件が倍増する</t>
  </si>
  <si>
    <t xml:space="preserve">業務の三分類（判断・処理・例外）</t>
  </si>
  <si>
    <t xml:space="preserve">T20</t>
  </si>
  <si>
    <t xml:space="preserve">前提条件を一覧化し、崩れた場合の代替策を書く</t>
  </si>
  <si>
    <t xml:space="preserve">未検証の前提を可視化し、崩れたときに全体が崩れないようにする</t>
  </si>
  <si>
    <t xml:space="preserve">前提条件ログ</t>
  </si>
  <si>
    <t xml:space="preserve">前提、検証状況、検証期限、崩れた場合の代替策</t>
  </si>
  <si>
    <t xml:space="preserve">主要な前提（外部連携の可否、環境の利用可否、要員の確保）に代替策がある</t>
  </si>
  <si>
    <t xml:space="preserve">相手先の「できます」を検証せずに設計を始める</t>
  </si>
  <si>
    <t xml:space="preserve">前提条件管理</t>
  </si>
  <si>
    <t xml:space="preserve">T21</t>
  </si>
  <si>
    <r>
      <rPr>
        <sz val="10"/>
        <rFont val="WenQuanYi Zen Hei"/>
        <family val="2"/>
      </rPr>
      <t xml:space="preserve">ステークホルダーを影響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関心で整理する</t>
    </r>
  </si>
  <si>
    <t xml:space="preserve">影響が大きく関心が低い関係者を事前に把握し、先手を打つ</t>
  </si>
  <si>
    <t xml:space="preserve">ステークホルダー分析表</t>
  </si>
  <si>
    <t xml:space="preserve">関係者、影響度、関心度、想定される反応、先に打つ手（説明者・時期）</t>
  </si>
  <si>
    <t xml:space="preserve">影響大・関心低の関係者に、誰がいつ説明するかが決まっている</t>
  </si>
  <si>
    <t xml:space="preserve">関心が低いのは「まだ説明していないだけ」であることに気づかない</t>
  </si>
  <si>
    <r>
      <rPr>
        <sz val="10"/>
        <rFont val="WenQuanYi Zen Hei"/>
        <family val="2"/>
      </rPr>
      <t xml:space="preserve">ステークホルダー分析（影響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関心マトリクス）</t>
    </r>
  </si>
  <si>
    <t xml:space="preserve">T22</t>
  </si>
  <si>
    <t xml:space="preserve">リスク登録簿を作る</t>
  </si>
  <si>
    <r>
      <rPr>
        <sz val="10"/>
        <rFont val="WenQuanYi Zen Hei"/>
        <family val="2"/>
      </rPr>
      <t xml:space="preserve">起きていないことを表にし、確率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影響で先手を決める。見立ての持ち主を記録する</t>
    </r>
  </si>
  <si>
    <t xml:space="preserve">リスク登録簿</t>
  </si>
  <si>
    <t xml:space="preserve">リスク、発生確率、影響度、事前対策、見立ての持ち主、見直し時期</t>
  </si>
  <si>
    <r>
      <rPr>
        <sz val="10"/>
        <rFont val="WenQuanYi Zen Hei"/>
        <family val="2"/>
      </rPr>
      <t xml:space="preserve">確率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影響で並び、各行に見立ての持ち主が書かれている</t>
    </r>
  </si>
  <si>
    <t xml:space="preserve">外部からの警告を自分の見立てで打ち消す</t>
  </si>
  <si>
    <t xml:space="preserve">リスク管理（リスク登録簿）</t>
  </si>
  <si>
    <t xml:space="preserve">T23</t>
  </si>
  <si>
    <t xml:space="preserve">クイックウィン（先に効く小さな手）を打つ</t>
  </si>
  <si>
    <t xml:space="preserve">現場の信頼を得る。先に消えた課題はシステムの効果から除く</t>
  </si>
  <si>
    <t xml:space="preserve">クイックウィン記録</t>
  </si>
  <si>
    <t xml:space="preserve">施策、実施日、効果、システム効果から除外する分</t>
  </si>
  <si>
    <t xml:space="preserve">一つ以上の施策が短期で実施され、効果が記録されている</t>
  </si>
  <si>
    <t xml:space="preserve">「システムが不要に見える」ことを恐れて先に打たない</t>
  </si>
  <si>
    <t xml:space="preserve">クイックウィン</t>
  </si>
  <si>
    <t xml:space="preserve">T24</t>
  </si>
  <si>
    <t xml:space="preserve">投資対効果を削減・回避・創出で整理する</t>
  </si>
  <si>
    <t xml:space="preserve">金額化できる効果だけ金額化し、回収期間を示す</t>
  </si>
  <si>
    <t xml:space="preserve">ビジネスケース</t>
  </si>
  <si>
    <t xml:space="preserve">削減効果、回避効果、創出効果、初期費用、運用費用、回収期間、金額化しない効果の明記</t>
  </si>
  <si>
    <t xml:space="preserve">回収期間が計算され、金額化しない効果は「しない」と明記されている</t>
  </si>
  <si>
    <t xml:space="preserve">効果を「業務が楽になる」としか書かない／定性効果を無理に金額化して根拠を問われる</t>
  </si>
  <si>
    <r>
      <rPr>
        <sz val="10"/>
        <rFont val="WenQuanYi Zen Hei"/>
        <family val="2"/>
      </rPr>
      <t xml:space="preserve">ビジネスケース／</t>
    </r>
    <r>
      <rPr>
        <sz val="10"/>
        <rFont val="Arial"/>
        <family val="0"/>
        <charset val="1"/>
      </rPr>
      <t xml:space="preserve">ROI</t>
    </r>
    <r>
      <rPr>
        <sz val="10"/>
        <rFont val="WenQuanYi Zen Hei"/>
        <family val="2"/>
      </rPr>
      <t xml:space="preserve">／回収期間</t>
    </r>
  </si>
  <si>
    <t xml:space="preserve">T25</t>
  </si>
  <si>
    <r>
      <rPr>
        <sz val="10"/>
        <rFont val="WenQuanYi Zen Hei"/>
        <family val="2"/>
      </rPr>
      <t xml:space="preserve">施策を効果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実現難易度で優先順位付けする</t>
    </r>
  </si>
  <si>
    <t xml:space="preserve">着手順とやらないことを決める</t>
  </si>
  <si>
    <t xml:space="preserve">施策優先順位表</t>
  </si>
  <si>
    <t xml:space="preserve">施策、効果、難易度、着手順、対象外とする施策</t>
  </si>
  <si>
    <t xml:space="preserve">着手順と対象外がこの表から導かれている</t>
  </si>
  <si>
    <t xml:space="preserve">効果が小さく難しい施策に先に着手する</t>
  </si>
  <si>
    <r>
      <rPr>
        <sz val="10"/>
        <rFont val="WenQuanYi Zen Hei"/>
        <family val="2"/>
      </rPr>
      <t xml:space="preserve">効果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実現難易度マトリクス</t>
    </r>
  </si>
  <si>
    <t xml:space="preserve">T26</t>
  </si>
  <si>
    <r>
      <rPr>
        <sz val="10"/>
        <rFont val="Arial"/>
        <family val="0"/>
        <charset val="1"/>
      </rPr>
      <t xml:space="preserve">KPI </t>
    </r>
    <r>
      <rPr>
        <sz val="10"/>
        <rFont val="WenQuanYi Zen Hei"/>
        <family val="2"/>
      </rPr>
      <t xml:space="preserve">ツリーを作る</t>
    </r>
  </si>
  <si>
    <t xml:space="preserve">最上位指標の下に枝を置き、何が効いたかを測れるようにする</t>
  </si>
  <si>
    <r>
      <rPr>
        <sz val="10"/>
        <rFont val="Arial"/>
        <family val="0"/>
        <charset val="1"/>
      </rPr>
      <t xml:space="preserve">KPI </t>
    </r>
    <r>
      <rPr>
        <sz val="10"/>
        <rFont val="WenQuanYi Zen Hei"/>
        <family val="2"/>
      </rPr>
      <t xml:space="preserve">ツリー</t>
    </r>
  </si>
  <si>
    <r>
      <rPr>
        <sz val="10"/>
        <rFont val="Arial"/>
        <family val="0"/>
        <charset val="1"/>
      </rPr>
      <t xml:space="preserve">KGI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KPI </t>
    </r>
    <r>
      <rPr>
        <sz val="10"/>
        <rFont val="WenQuanYi Zen Hei"/>
        <family val="2"/>
      </rPr>
      <t xml:space="preserve">の枝、業務変更施策との対応、測定者、測定時期</t>
    </r>
  </si>
  <si>
    <t xml:space="preserve">各枝が業務の変え方と一対一に対応し、測定者が決まっている</t>
  </si>
  <si>
    <t xml:space="preserve">最上位指標だけで効果の内訳が語れない</t>
  </si>
  <si>
    <r>
      <rPr>
        <sz val="10"/>
        <rFont val="Arial"/>
        <family val="0"/>
        <charset val="1"/>
      </rPr>
      <t xml:space="preserve">KGI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KPI </t>
    </r>
    <r>
      <rPr>
        <sz val="10"/>
        <rFont val="WenQuanYi Zen Hei"/>
        <family val="2"/>
      </rPr>
      <t xml:space="preserve">ツリー</t>
    </r>
  </si>
  <si>
    <t xml:space="preserve">T27</t>
  </si>
  <si>
    <r>
      <rPr>
        <sz val="10"/>
        <rFont val="WenQuanYi Zen Hei"/>
        <family val="2"/>
      </rPr>
      <t xml:space="preserve">体制・</t>
    </r>
    <r>
      <rPr>
        <sz val="10"/>
        <rFont val="Arial"/>
        <family val="0"/>
        <charset val="1"/>
      </rPr>
      <t xml:space="preserve">RACI</t>
    </r>
    <r>
      <rPr>
        <sz val="10"/>
        <rFont val="WenQuanYi Zen Hei"/>
        <family val="2"/>
      </rPr>
      <t xml:space="preserve">・プロセスオーナー・エスカレーション基準を決める</t>
    </r>
  </si>
  <si>
    <t xml:space="preserve">決定者が空欄の仕事を無くし、部門最適を防ぐ</t>
  </si>
  <si>
    <r>
      <rPr>
        <sz val="10"/>
        <rFont val="WenQuanYi Zen Hei"/>
        <family val="2"/>
      </rPr>
      <t xml:space="preserve">体制図・</t>
    </r>
    <r>
      <rPr>
        <sz val="10"/>
        <rFont val="Arial"/>
        <family val="0"/>
        <charset val="1"/>
      </rPr>
      <t xml:space="preserve">RACI</t>
    </r>
  </si>
  <si>
    <r>
      <rPr>
        <sz val="10"/>
        <rFont val="WenQuanYi Zen Hei"/>
        <family val="2"/>
      </rPr>
      <t xml:space="preserve">スポンサー、</t>
    </r>
    <r>
      <rPr>
        <sz val="10"/>
        <rFont val="Arial"/>
        <family val="0"/>
        <charset val="1"/>
      </rPr>
      <t xml:space="preserve">PM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PMO</t>
    </r>
    <r>
      <rPr>
        <sz val="10"/>
        <rFont val="WenQuanYi Zen Hei"/>
        <family val="2"/>
      </rPr>
      <t xml:space="preserve">、業務オーナー、技術担当、経路横断のプロセスオーナー、</t>
    </r>
    <r>
      <rPr>
        <sz val="10"/>
        <rFont val="Arial"/>
        <family val="0"/>
        <charset val="1"/>
      </rPr>
      <t xml:space="preserve">RACI </t>
    </r>
    <r>
      <rPr>
        <sz val="10"/>
        <rFont val="WenQuanYi Zen Hei"/>
        <family val="2"/>
      </rPr>
      <t xml:space="preserve">表、エスカレーション基準（日数）</t>
    </r>
  </si>
  <si>
    <r>
      <rPr>
        <sz val="10"/>
        <rFont val="WenQuanYi Zen Hei"/>
        <family val="2"/>
      </rPr>
      <t xml:space="preserve">業務の変え方の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（最終責任）が業務オーナーになっている。エスカレーション基準に日数がある</t>
    </r>
  </si>
  <si>
    <t xml:space="preserve">体制図に名前が並ぶだけで誰が決めるか分からない</t>
  </si>
  <si>
    <r>
      <rPr>
        <sz val="10"/>
        <rFont val="Arial"/>
        <family val="0"/>
        <charset val="1"/>
      </rPr>
      <t xml:space="preserve">RACI</t>
    </r>
    <r>
      <rPr>
        <sz val="10"/>
        <rFont val="WenQuanYi Zen Hei"/>
        <family val="2"/>
      </rPr>
      <t xml:space="preserve">／プロセスオーナー制／エスカレーションルール</t>
    </r>
  </si>
  <si>
    <t xml:space="preserve">T28</t>
  </si>
  <si>
    <t xml:space="preserve">スコープ（対象外）・ステージゲート・撤退基準を決める</t>
  </si>
  <si>
    <t xml:space="preserve">後で断る根拠と、やめる判断の場を先に置く</t>
  </si>
  <si>
    <r>
      <rPr>
        <sz val="10"/>
        <rFont val="WenQuanYi Zen Hei"/>
        <family val="2"/>
      </rPr>
      <t xml:space="preserve">スコープ定義（</t>
    </r>
    <r>
      <rPr>
        <sz val="10"/>
        <rFont val="Arial"/>
        <family val="0"/>
        <charset val="1"/>
      </rPr>
      <t xml:space="preserve">In/Out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</si>
  <si>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対象、対象外、ゲート（要件定義後・選定後・</t>
    </r>
    <r>
      <rPr>
        <sz val="10"/>
        <rFont val="Arial"/>
        <family val="0"/>
        <charset val="1"/>
      </rPr>
      <t xml:space="preserve">UAT </t>
    </r>
    <r>
      <rPr>
        <sz val="10"/>
        <rFont val="WenQuanYi Zen Hei"/>
        <family val="2"/>
      </rPr>
      <t xml:space="preserve">後）、撤退基準</t>
    </r>
  </si>
  <si>
    <t xml:space="preserve">対象外が明記され、各ゲートの判断者と撤退基準が書かれている</t>
  </si>
  <si>
    <t xml:space="preserve">途中で要望が全て入ってくる／やめる基準が無く続ける</t>
  </si>
  <si>
    <t xml:space="preserve">スコープ定義／ステージゲート／撤退基準</t>
  </si>
  <si>
    <t xml:space="preserve">T29</t>
  </si>
  <si>
    <t xml:space="preserve">予備費（コンティンジェンシー）の扱いを決める</t>
  </si>
  <si>
    <t xml:space="preserve">想定外の費用の判断者を先に決める</t>
  </si>
  <si>
    <t xml:space="preserve">予算表</t>
  </si>
  <si>
    <t xml:space="preserve">予算、予備費の有無と率、予備費が無い場合の判断者</t>
  </si>
  <si>
    <t xml:space="preserve">予備費の有無と判断者が明記されている</t>
  </si>
  <si>
    <t xml:space="preserve">想定外の費用が出たとき誰も決められない</t>
  </si>
  <si>
    <t xml:space="preserve">コンティンジェンシー予算</t>
  </si>
  <si>
    <t xml:space="preserve">T30</t>
  </si>
  <si>
    <t xml:space="preserve">チェンジ・インパクトを人単位で書く</t>
  </si>
  <si>
    <t xml:space="preserve">仕事が減る人・増える人を可視化し、増える人に先に話す</t>
  </si>
  <si>
    <t xml:space="preserve">チェンジ・インパクト表</t>
  </si>
  <si>
    <t xml:space="preserve">対象者、消える作業、増える作業、新たに覚えること、説明日</t>
  </si>
  <si>
    <t xml:space="preserve">最も仕事が変わる現場担当者に説明した記録がある</t>
  </si>
  <si>
    <t xml:space="preserve">「◯◯部門の負荷が減る」と書き、個人が見えない</t>
  </si>
  <si>
    <t xml:space="preserve">チェンジ・インパクト分析</t>
  </si>
  <si>
    <t xml:space="preserve">T31</t>
  </si>
  <si>
    <t xml:space="preserve">構想書を一枚にまとめる</t>
  </si>
  <si>
    <t xml:space="preserve">目的から体制までを一枚に。事実・解釈・行動を分けて書く</t>
  </si>
  <si>
    <t xml:space="preserve">構想書</t>
  </si>
  <si>
    <r>
      <rPr>
        <sz val="10"/>
        <rFont val="WenQuanYi Zen Hei"/>
        <family val="2"/>
      </rPr>
      <t xml:space="preserve">目的、業務の変え方、システムへの要求、</t>
    </r>
    <r>
      <rPr>
        <sz val="10"/>
        <rFont val="Arial"/>
        <family val="0"/>
        <charset val="1"/>
      </rPr>
      <t xml:space="preserve">KPI</t>
    </r>
    <r>
      <rPr>
        <sz val="10"/>
        <rFont val="WenQuanYi Zen Hei"/>
        <family val="2"/>
      </rPr>
      <t xml:space="preserve">、体制、予算・期限、対象外、効果と費用、前提とリスク、ゲート、</t>
    </r>
    <r>
      <rPr>
        <sz val="10"/>
        <rFont val="Arial"/>
        <family val="0"/>
        <charset val="1"/>
      </rPr>
      <t xml:space="preserve">RACI</t>
    </r>
  </si>
  <si>
    <t xml:space="preserve">一枚で、経営者が事実だけを検証すれば判断できる構造になっている</t>
  </si>
  <si>
    <t xml:space="preserve">事実・意見・施策が同じ段落に混ざる</t>
  </si>
  <si>
    <t xml:space="preserve">構想書／空・雨・傘（事実・解釈・行動）</t>
  </si>
  <si>
    <t xml:space="preserve">T32</t>
  </si>
  <si>
    <t xml:space="preserve">業務オーナーの異議を出し切ってから経営承認を得る</t>
  </si>
  <si>
    <t xml:space="preserve">承認後の「聞いていない」を防ぐ</t>
  </si>
  <si>
    <t xml:space="preserve">承認済み構想書</t>
  </si>
  <si>
    <t xml:space="preserve">業務オーナーごとの確認記録、指摘と対応、経営者の承認</t>
  </si>
  <si>
    <t xml:space="preserve">全業務オーナーとの個別確認記録の後に承認がある</t>
  </si>
  <si>
    <t xml:space="preserve">承認後に異議が出る</t>
  </si>
  <si>
    <t xml:space="preserve">合意形成</t>
  </si>
  <si>
    <t xml:space="preserve">T33</t>
  </si>
  <si>
    <t xml:space="preserve">ステアリングコミッティを設置する</t>
  </si>
  <si>
    <t xml:space="preserve">月次で判断する場を作る（報告の場にしない）</t>
  </si>
  <si>
    <t xml:space="preserve">ステアリングコミッティ運営要領</t>
  </si>
  <si>
    <t xml:space="preserve">出席者、頻度、判断事項、変更要求の承認、報告様式（信号色）</t>
  </si>
  <si>
    <t xml:space="preserve">「判断事項が無い月は開かない」を含む運営ルールがある</t>
  </si>
  <si>
    <t xml:space="preserve">報告だけの会議になる</t>
  </si>
  <si>
    <t xml:space="preserve">ステアリングコミッティ</t>
  </si>
  <si>
    <t xml:space="preserve">T34</t>
  </si>
  <si>
    <t xml:space="preserve">ワークショップを設計する（発散と収束を分ける）</t>
  </si>
  <si>
    <t xml:space="preserve">目的・参加者・終了時の成果を事前に共有し、出す回と絞る回を分ける</t>
  </si>
  <si>
    <t xml:space="preserve">ワークショップ設計書</t>
  </si>
  <si>
    <t xml:space="preserve">目的、参加者、成果物、時間割、発散回／収束回の別</t>
  </si>
  <si>
    <t xml:space="preserve">発散回と収束回が別日程になっている</t>
  </si>
  <si>
    <t xml:space="preserve">同一会議で前半発散・後半収束を行い、後半に出るべき意見が出ない</t>
  </si>
  <si>
    <t xml:space="preserve">ワークショップ設計（発散と収束）</t>
  </si>
  <si>
    <t xml:space="preserve">T35</t>
  </si>
  <si>
    <t xml:space="preserve">要望と要件を仕分け、出所と背景の用事を記録する</t>
  </si>
  <si>
    <t xml:space="preserve">要件＝無いと目的が達成できないもの。要望は出所・理由・裏の用事を付けて別管理する</t>
  </si>
  <si>
    <t xml:space="preserve">要望一覧</t>
  </si>
  <si>
    <t xml:space="preserve">要望、出所、理由、裏にある用事（ジョブ）、今回対象外とする理由</t>
  </si>
  <si>
    <t xml:space="preserve">要望一覧の各行に出所・理由・用事がある</t>
  </si>
  <si>
    <t xml:space="preserve">発言力の大きい人の要望が要件になる／用事を聞かずに却下する</t>
  </si>
  <si>
    <t xml:space="preserve">要求管理／ジョブ理論</t>
  </si>
  <si>
    <t xml:space="preserve">T36</t>
  </si>
  <si>
    <t xml:space="preserve">「現行踏襲」を要件から外す</t>
  </si>
  <si>
    <t xml:space="preserve">「今と同じに」の理由を確認し、慣れなら教育で、相手側の制約なら要件で対応する</t>
  </si>
  <si>
    <t xml:space="preserve">要件判定記録</t>
  </si>
  <si>
    <t xml:space="preserve">現行踏襲要望、理由、判定（教育／要件／対象外）</t>
  </si>
  <si>
    <t xml:space="preserve">現行踏襲要望に理由が付き、判定が記録されている</t>
  </si>
  <si>
    <t xml:space="preserve">現状のやり方を無駄ごと固定する</t>
  </si>
  <si>
    <t xml:space="preserve">現行踏襲の禁止</t>
  </si>
  <si>
    <t xml:space="preserve">T37</t>
  </si>
  <si>
    <t xml:space="preserve">業務要件をユースケース形式＋受入基準で書く</t>
  </si>
  <si>
    <r>
      <rPr>
        <sz val="10"/>
        <rFont val="WenQuanYi Zen Hei"/>
        <family val="2"/>
      </rPr>
      <t xml:space="preserve">目的で書き、</t>
    </r>
    <r>
      <rPr>
        <sz val="10"/>
        <rFont val="Arial"/>
        <family val="0"/>
        <charset val="1"/>
      </rPr>
      <t xml:space="preserve">UAT </t>
    </r>
    <r>
      <rPr>
        <sz val="10"/>
        <rFont val="WenQuanYi Zen Hei"/>
        <family val="2"/>
      </rPr>
      <t xml:space="preserve">の合格条件を要件定義時点で作る</t>
    </r>
  </si>
  <si>
    <t xml:space="preserve">業務要件一覧、受入基準</t>
  </si>
  <si>
    <r>
      <rPr>
        <sz val="10"/>
        <rFont val="WenQuanYi Zen Hei"/>
        <family val="2"/>
      </rPr>
      <t xml:space="preserve">要件 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、誰が、何のために、何を、受入基準（前提・操作・期待結果）</t>
    </r>
  </si>
  <si>
    <t xml:space="preserve">全業務要件に受入基準が付いている</t>
  </si>
  <si>
    <r>
      <rPr>
        <sz val="10"/>
        <rFont val="Arial"/>
        <family val="0"/>
        <charset val="1"/>
      </rPr>
      <t xml:space="preserve">UAT </t>
    </r>
    <r>
      <rPr>
        <sz val="10"/>
        <rFont val="WenQuanYi Zen Hei"/>
        <family val="2"/>
      </rPr>
      <t xml:space="preserve">直前に合格基準を作り、間に合わせるために甘くなる</t>
    </r>
  </si>
  <si>
    <r>
      <rPr>
        <sz val="10"/>
        <rFont val="WenQuanYi Zen Hei"/>
        <family val="2"/>
      </rPr>
      <t xml:space="preserve">ユースケース／ユーザーストーリー／受入基準（</t>
    </r>
    <r>
      <rPr>
        <sz val="10"/>
        <rFont val="Arial"/>
        <family val="0"/>
        <charset val="1"/>
      </rPr>
      <t xml:space="preserve">Given-When-Then</t>
    </r>
    <r>
      <rPr>
        <sz val="10"/>
        <rFont val="WenQuanYi Zen Hei"/>
        <family val="2"/>
      </rPr>
      <t xml:space="preserve">）</t>
    </r>
  </si>
  <si>
    <t xml:space="preserve">T38</t>
  </si>
  <si>
    <t xml:space="preserve">機能要件を業務要件と一対一で紐づける</t>
  </si>
  <si>
    <t xml:space="preserve">紐づかない機能要件（要望の紛れ込み）を除く</t>
  </si>
  <si>
    <t xml:space="preserve">トレーサビリティ表</t>
  </si>
  <si>
    <r>
      <rPr>
        <sz val="10"/>
        <rFont val="WenQuanYi Zen Hei"/>
        <family val="2"/>
      </rPr>
      <t xml:space="preserve">業務要件 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、機能要件 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、設計 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、テスト </t>
    </r>
    <r>
      <rPr>
        <sz val="10"/>
        <rFont val="Arial"/>
        <family val="0"/>
        <charset val="1"/>
      </rPr>
      <t xml:space="preserve">ID</t>
    </r>
  </si>
  <si>
    <t xml:space="preserve">紐づかない機能要件がゼロ（要望一覧へ移動済み）</t>
  </si>
  <si>
    <t xml:space="preserve">要望が機能要件に紛れ込む</t>
  </si>
  <si>
    <t xml:space="preserve">トレーサビリティ</t>
  </si>
  <si>
    <t xml:space="preserve">T39</t>
  </si>
  <si>
    <t xml:space="preserve">非機能要件を「困るものだけ」「測れる形」で決める</t>
  </si>
  <si>
    <t xml:space="preserve">可用性・性能（ピーク）・運用・移行・セキュリティを数字で書く</t>
  </si>
  <si>
    <t xml:space="preserve">非機能要件</t>
  </si>
  <si>
    <t xml:space="preserve">可用性（停止許容時間）、性能（ピーク件数と応答時間）、運用、移行、セキュリティ、データ保持</t>
  </si>
  <si>
    <t xml:space="preserve">各項目が数値で書かれ、月末等のピーク条件が含まれている</t>
  </si>
  <si>
    <t xml:space="preserve">大企業向けの表を全て埋めて誰も守れない／「速く」と書く</t>
  </si>
  <si>
    <r>
      <rPr>
        <sz val="10"/>
        <rFont val="WenQuanYi Zen Hei"/>
        <family val="2"/>
      </rPr>
      <t xml:space="preserve">非機能要求グレード／</t>
    </r>
    <r>
      <rPr>
        <sz val="10"/>
        <rFont val="Arial"/>
        <family val="0"/>
        <charset val="1"/>
      </rPr>
      <t xml:space="preserve">SMART</t>
    </r>
  </si>
  <si>
    <t xml:space="preserve">T40</t>
  </si>
  <si>
    <r>
      <rPr>
        <sz val="10"/>
        <rFont val="Arial"/>
        <family val="0"/>
        <charset val="1"/>
      </rPr>
      <t xml:space="preserve">CRUD </t>
    </r>
    <r>
      <rPr>
        <sz val="10"/>
        <rFont val="WenQuanYi Zen Hei"/>
        <family val="2"/>
      </rPr>
      <t xml:space="preserve">図と権限マトリクスを作る</t>
    </r>
  </si>
  <si>
    <r>
      <rPr>
        <sz val="10"/>
        <rFont val="WenQuanYi Zen Hei"/>
        <family val="2"/>
      </rPr>
      <t xml:space="preserve">データ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画面で作成・参照・更新・削除を整理し、削除権限と更新画面の抜けを確認する</t>
    </r>
  </si>
  <si>
    <r>
      <rPr>
        <sz val="10"/>
        <rFont val="Arial"/>
        <family val="0"/>
        <charset val="1"/>
      </rPr>
      <t xml:space="preserve">CRUD </t>
    </r>
    <r>
      <rPr>
        <sz val="10"/>
        <rFont val="WenQuanYi Zen Hei"/>
        <family val="2"/>
      </rPr>
      <t xml:space="preserve">図、権限マトリクス</t>
    </r>
  </si>
  <si>
    <r>
      <rPr>
        <sz val="10"/>
        <rFont val="WenQuanYi Zen Hei"/>
        <family val="2"/>
      </rPr>
      <t xml:space="preserve">データ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画面の </t>
    </r>
    <r>
      <rPr>
        <sz val="10"/>
        <rFont val="Arial"/>
        <family val="0"/>
        <charset val="1"/>
      </rPr>
      <t xml:space="preserve">CRUD</t>
    </r>
    <r>
      <rPr>
        <sz val="10"/>
        <rFont val="WenQuanYi Zen Hei"/>
        <family val="2"/>
      </rPr>
      <t xml:space="preserve">、役割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機能、</t>
    </r>
    <r>
      <rPr>
        <sz val="10"/>
        <rFont val="Arial"/>
        <family val="0"/>
        <charset val="1"/>
      </rPr>
      <t xml:space="preserve">ID </t>
    </r>
    <r>
      <rPr>
        <sz val="10"/>
        <rFont val="WenQuanYi Zen Hei"/>
        <family val="2"/>
      </rPr>
      <t xml:space="preserve">グループとの対応</t>
    </r>
  </si>
  <si>
    <t xml:space="preserve">情報システム</t>
  </si>
  <si>
    <t xml:space="preserve">「削除」が取消に置き換わり、更新画面の無いデータが洗い出されている</t>
  </si>
  <si>
    <t xml:space="preserve">現場が直したいマスタを管理者しか更新できず、稼働後に止まる</t>
  </si>
  <si>
    <r>
      <rPr>
        <sz val="10"/>
        <rFont val="Arial"/>
        <family val="0"/>
        <charset val="1"/>
      </rPr>
      <t xml:space="preserve">CRUD </t>
    </r>
    <r>
      <rPr>
        <sz val="10"/>
        <rFont val="WenQuanYi Zen Hei"/>
        <family val="2"/>
      </rPr>
      <t xml:space="preserve">図／権限マトリクス</t>
    </r>
  </si>
  <si>
    <t xml:space="preserve">T41</t>
  </si>
  <si>
    <t xml:space="preserve">業務ルールをディシジョンテーブルにする</t>
  </si>
  <si>
    <t xml:space="preserve">条件で結果が変わる決めごとを表にし、空欄（未決事項）を可視化する</t>
  </si>
  <si>
    <t xml:space="preserve">業務ルール表</t>
  </si>
  <si>
    <r>
      <rPr>
        <sz val="10"/>
        <rFont val="WenQuanYi Zen Hei"/>
        <family val="2"/>
      </rPr>
      <t xml:space="preserve">条件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結果、空欄、決定者、決定期限</t>
    </r>
  </si>
  <si>
    <t xml:space="preserve">空欄が明示され、誰がいつ決めるかが書かれている</t>
  </si>
  <si>
    <t xml:space="preserve">文章で書かれ「ただし」が並んで読めない</t>
  </si>
  <si>
    <t xml:space="preserve">ディシジョンテーブル</t>
  </si>
  <si>
    <t xml:space="preserve">T42</t>
  </si>
  <si>
    <t xml:space="preserve">帳票・移行・運用・教育要件を書く</t>
  </si>
  <si>
    <t xml:space="preserve">システム機能以外の要件を落とさない</t>
  </si>
  <si>
    <t xml:space="preserve">要件定義書（帳票・移行・運用・教育）</t>
  </si>
  <si>
    <t xml:space="preserve">帳票一覧と項目、移行対象と期間、運用要件、教育要件</t>
  </si>
  <si>
    <t xml:space="preserve">四つの章が空でない</t>
  </si>
  <si>
    <t xml:space="preserve">機能要件だけ書き、移行と教育が抜ける</t>
  </si>
  <si>
    <t xml:space="preserve">要件定義（非機能・移行・運用・教育）</t>
  </si>
  <si>
    <t xml:space="preserve">T43</t>
  </si>
  <si>
    <t xml:space="preserve">要件の追加・変更を理由付きで記録する</t>
  </si>
  <si>
    <t xml:space="preserve">遅延の原因を説明できるようにする</t>
  </si>
  <si>
    <t xml:space="preserve">要件変更記録</t>
  </si>
  <si>
    <t xml:space="preserve">日付、追加・変更内容、指摘者、理由、影響</t>
  </si>
  <si>
    <t xml:space="preserve">追加のたびに日付・理由が残っている</t>
  </si>
  <si>
    <t xml:space="preserve">追加を隠し、遅延の理由が「管理が悪い」になる</t>
  </si>
  <si>
    <t xml:space="preserve">T44</t>
  </si>
  <si>
    <r>
      <rPr>
        <sz val="10"/>
        <rFont val="Arial"/>
        <family val="0"/>
        <charset val="1"/>
      </rPr>
      <t xml:space="preserve">MoSCoW </t>
    </r>
    <r>
      <rPr>
        <sz val="10"/>
        <rFont val="WenQuanYi Zen Hei"/>
        <family val="2"/>
      </rPr>
      <t xml:space="preserve">で優先度を付け、</t>
    </r>
    <r>
      <rPr>
        <sz val="10"/>
        <rFont val="Arial"/>
        <family val="0"/>
        <charset val="1"/>
      </rPr>
      <t xml:space="preserve">Must </t>
    </r>
    <r>
      <rPr>
        <sz val="10"/>
        <rFont val="WenQuanYi Zen Hei"/>
        <family val="2"/>
      </rPr>
      <t xml:space="preserve">の比率に上限を設ける</t>
    </r>
  </si>
  <si>
    <t xml:space="preserve">間に合わないと分かる前に落とす順番を決める</t>
  </si>
  <si>
    <t xml:space="preserve">優先度一覧</t>
  </si>
  <si>
    <r>
      <rPr>
        <sz val="10"/>
        <rFont val="WenQuanYi Zen Hei"/>
        <family val="2"/>
      </rPr>
      <t xml:space="preserve">要件 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Must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Should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Could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Won't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Must </t>
    </r>
    <r>
      <rPr>
        <sz val="10"/>
        <rFont val="WenQuanYi Zen Hei"/>
        <family val="2"/>
      </rPr>
      <t xml:space="preserve">比率</t>
    </r>
  </si>
  <si>
    <r>
      <rPr>
        <sz val="10"/>
        <rFont val="Arial"/>
        <family val="0"/>
        <charset val="1"/>
      </rPr>
      <t xml:space="preserve">Must </t>
    </r>
    <r>
      <rPr>
        <sz val="10"/>
        <rFont val="WenQuanYi Zen Hei"/>
        <family val="2"/>
      </rPr>
      <t xml:space="preserve">が全体の七割以下に絞られている</t>
    </r>
  </si>
  <si>
    <r>
      <rPr>
        <sz val="10"/>
        <rFont val="WenQuanYi Zen Hei"/>
        <family val="2"/>
      </rPr>
      <t xml:space="preserve">八割が </t>
    </r>
    <r>
      <rPr>
        <sz val="10"/>
        <rFont val="Arial"/>
        <family val="0"/>
        <charset val="1"/>
      </rPr>
      <t xml:space="preserve">Must </t>
    </r>
    <r>
      <rPr>
        <sz val="10"/>
        <rFont val="WenQuanYi Zen Hei"/>
        <family val="2"/>
      </rPr>
      <t xml:space="preserve">で優先度として機能しない</t>
    </r>
  </si>
  <si>
    <t xml:space="preserve">MoSCoW</t>
  </si>
  <si>
    <t xml:space="preserve">T45</t>
  </si>
  <si>
    <t xml:space="preserve">要件定義書をベースライン化し、承認を得る</t>
  </si>
  <si>
    <t xml:space="preserve">以後の変更を変更管理に乗せる</t>
  </si>
  <si>
    <r>
      <rPr>
        <sz val="10"/>
        <rFont val="WenQuanYi Zen Hei"/>
        <family val="2"/>
      </rPr>
      <t xml:space="preserve">要件定義書 </t>
    </r>
    <r>
      <rPr>
        <sz val="10"/>
        <rFont val="Arial"/>
        <family val="0"/>
        <charset val="1"/>
      </rPr>
      <t xml:space="preserve">v1.0</t>
    </r>
    <r>
      <rPr>
        <sz val="10"/>
        <rFont val="WenQuanYi Zen Hei"/>
        <family val="2"/>
      </rPr>
      <t xml:space="preserve">（ベースライン）</t>
    </r>
  </si>
  <si>
    <r>
      <rPr>
        <sz val="10"/>
        <rFont val="WenQuanYi Zen Hei"/>
        <family val="2"/>
      </rPr>
      <t xml:space="preserve">目的と範囲、</t>
    </r>
    <r>
      <rPr>
        <sz val="10"/>
        <rFont val="Arial"/>
        <family val="0"/>
        <charset val="1"/>
      </rPr>
      <t xml:space="preserve">To-Be </t>
    </r>
    <r>
      <rPr>
        <sz val="10"/>
        <rFont val="WenQuanYi Zen Hei"/>
        <family val="2"/>
      </rPr>
      <t xml:space="preserve">フロー、業務／機能／非機能要件、画面・帳票・連携一覧、移行方針、対象外、優先度、業務ルール表、受入基準、署名</t>
    </r>
  </si>
  <si>
    <t xml:space="preserve">版番号と凍結日があり、業務オーナーの署名と経営承認がある</t>
  </si>
  <si>
    <t xml:space="preserve">凍結せず、何が合意した要件か分からなくなる</t>
  </si>
  <si>
    <t xml:space="preserve">ベースライン管理</t>
  </si>
  <si>
    <t xml:space="preserve">T46</t>
  </si>
  <si>
    <t xml:space="preserve">作る／買う／借りるを比較する</t>
  </si>
  <si>
    <r>
      <rPr>
        <sz val="10"/>
        <rFont val="WenQuanYi Zen Hei"/>
        <family val="2"/>
      </rPr>
      <t xml:space="preserve">業務が標準的なら </t>
    </r>
    <r>
      <rPr>
        <sz val="10"/>
        <rFont val="Arial"/>
        <family val="0"/>
        <charset val="1"/>
      </rPr>
      <t xml:space="preserve">SaaS</t>
    </r>
    <r>
      <rPr>
        <sz val="10"/>
        <rFont val="WenQuanYi Zen Hei"/>
        <family val="2"/>
      </rPr>
      <t xml:space="preserve">・パッケージに業務を合わせる</t>
    </r>
  </si>
  <si>
    <t xml:space="preserve">方式比較表</t>
  </si>
  <si>
    <t xml:space="preserve">初期費用、月額、期間、自由度、保守、向く条件、判断</t>
  </si>
  <si>
    <t xml:space="preserve">「自社の業務は独特か」への答えが記録され、方式が決まっている</t>
  </si>
  <si>
    <t xml:space="preserve">標準的な業務を一から作る</t>
  </si>
  <si>
    <r>
      <rPr>
        <sz val="10"/>
        <rFont val="WenQuanYi Zen Hei"/>
        <family val="2"/>
      </rPr>
      <t xml:space="preserve">スクラッチ／パッケージ／</t>
    </r>
    <r>
      <rPr>
        <sz val="10"/>
        <rFont val="Arial"/>
        <family val="0"/>
        <charset val="1"/>
      </rPr>
      <t xml:space="preserve">SaaS </t>
    </r>
    <r>
      <rPr>
        <sz val="10"/>
        <rFont val="WenQuanYi Zen Hei"/>
        <family val="2"/>
      </rPr>
      <t xml:space="preserve">の比較</t>
    </r>
  </si>
  <si>
    <t xml:space="preserve">T47</t>
  </si>
  <si>
    <r>
      <rPr>
        <sz val="10"/>
        <rFont val="Arial"/>
        <family val="0"/>
        <charset val="1"/>
      </rPr>
      <t xml:space="preserve">RFI </t>
    </r>
    <r>
      <rPr>
        <sz val="10"/>
        <rFont val="WenQuanYi Zen Hei"/>
        <family val="2"/>
      </rPr>
      <t xml:space="preserve">で候補を絞る</t>
    </r>
  </si>
  <si>
    <t xml:space="preserve">詳細な提案依頼の前に対応可否だけ確認し、候補を三社程度に絞る</t>
  </si>
  <si>
    <r>
      <rPr>
        <sz val="10"/>
        <rFont val="Arial"/>
        <family val="0"/>
        <charset val="1"/>
      </rPr>
      <t xml:space="preserve">RFI</t>
    </r>
    <r>
      <rPr>
        <sz val="10"/>
        <rFont val="WenQuanYi Zen Hei"/>
        <family val="2"/>
      </rPr>
      <t xml:space="preserve">・回答一覧</t>
    </r>
  </si>
  <si>
    <t xml:space="preserve">会社規模、業務の要点、連携先、認証方式、対応可否</t>
  </si>
  <si>
    <t xml:space="preserve">候補が三社程度に絞られている</t>
  </si>
  <si>
    <t xml:space="preserve">多数の提案書を読むだけで一か月かかる</t>
  </si>
  <si>
    <r>
      <rPr>
        <sz val="10"/>
        <rFont val="Arial"/>
        <family val="0"/>
        <charset val="1"/>
      </rPr>
      <t xml:space="preserve">RFI</t>
    </r>
    <r>
      <rPr>
        <sz val="10"/>
        <rFont val="WenQuanYi Zen Hei"/>
        <family val="2"/>
      </rPr>
      <t xml:space="preserve">（情報提供依頼）</t>
    </r>
  </si>
  <si>
    <t xml:space="preserve">T48</t>
  </si>
  <si>
    <r>
      <rPr>
        <sz val="10"/>
        <rFont val="Arial"/>
        <family val="0"/>
        <charset val="1"/>
      </rPr>
      <t xml:space="preserve">RFP </t>
    </r>
    <r>
      <rPr>
        <sz val="10"/>
        <rFont val="WenQuanYi Zen Hei"/>
        <family val="2"/>
      </rPr>
      <t xml:space="preserve">を作成する（評価基準・重み・デモ台本・見積書式を先に）</t>
    </r>
  </si>
  <si>
    <t xml:space="preserve">デモの印象で決めず、事前に決めた基準で選ぶ</t>
  </si>
  <si>
    <t xml:space="preserve">RFP</t>
  </si>
  <si>
    <t xml:space="preserve">背景、要件定義書、提案依頼事項、評価基準と重み、日程、デモ台本、見積書式（一式禁止）</t>
  </si>
  <si>
    <t xml:space="preserve">評価基準と重みが提案書受領前に候補へ送られている</t>
  </si>
  <si>
    <t xml:space="preserve">提案書を読んだ後に重みを調整する</t>
  </si>
  <si>
    <r>
      <rPr>
        <sz val="10"/>
        <rFont val="Arial"/>
        <family val="0"/>
        <charset val="1"/>
      </rPr>
      <t xml:space="preserve">RFP</t>
    </r>
    <r>
      <rPr>
        <sz val="10"/>
        <rFont val="WenQuanYi Zen Hei"/>
        <family val="2"/>
      </rPr>
      <t xml:space="preserve">／重み付け評価</t>
    </r>
  </si>
  <si>
    <t xml:space="preserve">T49</t>
  </si>
  <si>
    <r>
      <rPr>
        <sz val="10"/>
        <rFont val="Arial"/>
        <family val="0"/>
        <charset val="1"/>
      </rPr>
      <t xml:space="preserve">Fit &amp; Gap </t>
    </r>
    <r>
      <rPr>
        <sz val="10"/>
        <rFont val="WenQuanYi Zen Hei"/>
        <family val="2"/>
      </rPr>
      <t xml:space="preserve">を評価する</t>
    </r>
  </si>
  <si>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を「業務で吸収／連携で作る／諦める」に分け、</t>
    </r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率で判断する</t>
    </r>
  </si>
  <si>
    <r>
      <rPr>
        <sz val="10"/>
        <rFont val="Arial"/>
        <family val="0"/>
        <charset val="1"/>
      </rPr>
      <t xml:space="preserve">Fit &amp; Gap </t>
    </r>
    <r>
      <rPr>
        <sz val="10"/>
        <rFont val="WenQuanYi Zen Hei"/>
        <family val="2"/>
      </rPr>
      <t xml:space="preserve">表</t>
    </r>
  </si>
  <si>
    <r>
      <rPr>
        <sz val="10"/>
        <rFont val="WenQuanYi Zen Hei"/>
        <family val="2"/>
      </rPr>
      <t xml:space="preserve">機能要件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各社の </t>
    </r>
    <r>
      <rPr>
        <sz val="10"/>
        <rFont val="Arial"/>
        <family val="0"/>
        <charset val="1"/>
      </rPr>
      <t xml:space="preserve">Fit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Gap</t>
    </r>
    <r>
      <rPr>
        <sz val="10"/>
        <rFont val="WenQuanYi Zen Hei"/>
        <family val="2"/>
      </rPr>
      <t xml:space="preserve">（吸収・カスタマイズ・不可）、</t>
    </r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</si>
  <si>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各社の </t>
    </r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率が算出され、閾値超の候補は除外されている</t>
    </r>
  </si>
  <si>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を全て作り込み、版上げできなくなる</t>
    </r>
  </si>
  <si>
    <r>
      <rPr>
        <sz val="10"/>
        <rFont val="Arial"/>
        <family val="0"/>
        <charset val="1"/>
      </rPr>
      <t xml:space="preserve">Fit &amp; Gap </t>
    </r>
    <r>
      <rPr>
        <sz val="10"/>
        <rFont val="WenQuanYi Zen Hei"/>
        <family val="2"/>
      </rPr>
      <t xml:space="preserve">分析</t>
    </r>
  </si>
  <si>
    <t xml:space="preserve">T50</t>
  </si>
  <si>
    <t xml:space="preserve">共通台本と実データでデモを実施する</t>
  </si>
  <si>
    <t xml:space="preserve">候補を同じ流れで比較する</t>
  </si>
  <si>
    <t xml:space="preserve">デモ評価記録</t>
  </si>
  <si>
    <t xml:space="preserve">台本項目ごとの可否、気づき、発言者</t>
  </si>
  <si>
    <r>
      <rPr>
        <sz val="10"/>
        <rFont val="Arial"/>
        <family val="0"/>
        <charset val="1"/>
      </rPr>
      <t xml:space="preserve">PM</t>
    </r>
    <r>
      <rPr>
        <sz val="10"/>
        <rFont val="WenQuanYi Zen Hei"/>
        <family val="2"/>
      </rPr>
      <t xml:space="preserve">、業務オーナー</t>
    </r>
  </si>
  <si>
    <t xml:space="preserve">全候補について台本の全項目に評価が付いている</t>
  </si>
  <si>
    <t xml:space="preserve">候補の得意画面の印象で決める</t>
  </si>
  <si>
    <t xml:space="preserve">デモシナリオ</t>
  </si>
  <si>
    <t xml:space="preserve">T51</t>
  </si>
  <si>
    <t xml:space="preserve">評価表で採点する</t>
  </si>
  <si>
    <t xml:space="preserve">事前に決めた重みで採点し、選定理由を説明可能にする</t>
  </si>
  <si>
    <t xml:space="preserve">評価表</t>
  </si>
  <si>
    <t xml:space="preserve">評価項目、重み、各社の点数、合計</t>
  </si>
  <si>
    <t xml:space="preserve">合計点と選定理由が重みから説明できる</t>
  </si>
  <si>
    <t xml:space="preserve">「総合的に判断して」で決める</t>
  </si>
  <si>
    <t xml:space="preserve">重み付けスコアリング</t>
  </si>
  <si>
    <t xml:space="preserve">T52</t>
  </si>
  <si>
    <t xml:space="preserve">トライアルを実施する（現場担当者を含める）</t>
  </si>
  <si>
    <t xml:space="preserve">連携・認証だけでなく、最も仕事が変わる人に触らせる</t>
  </si>
  <si>
    <t xml:space="preserve">トライアル結果</t>
  </si>
  <si>
    <t xml:space="preserve">試行項目、結果、現場担当者の所感</t>
  </si>
  <si>
    <t xml:space="preserve">連携・認証・現場入力の三点が試されている</t>
  </si>
  <si>
    <t xml:space="preserve">技術者だけで試し、現場の「違う」が本番直前に出る</t>
  </si>
  <si>
    <r>
      <rPr>
        <sz val="10"/>
        <rFont val="Arial"/>
        <family val="0"/>
        <charset val="1"/>
      </rPr>
      <t xml:space="preserve">PoC</t>
    </r>
    <r>
      <rPr>
        <sz val="10"/>
        <rFont val="WenQuanYi Zen Hei"/>
        <family val="2"/>
      </rPr>
      <t xml:space="preserve">／トライアル</t>
    </r>
  </si>
  <si>
    <t xml:space="preserve">T53</t>
  </si>
  <si>
    <t xml:space="preserve">導入先に「最も苦労した点」を聞く</t>
  </si>
  <si>
    <t xml:space="preserve">得た警告を自分の見立てで打ち消さない</t>
  </si>
  <si>
    <t xml:space="preserve">リファレンス確認記録</t>
  </si>
  <si>
    <t xml:space="preserve">導入先、規模、最も苦労した点、自社への当てはめ、リスク登録簿への反映</t>
  </si>
  <si>
    <t xml:space="preserve">聞いた内容がリスク登録簿に反映されている</t>
  </si>
  <si>
    <t xml:space="preserve">「自社は大丈夫」で見立てを変えない</t>
  </si>
  <si>
    <t xml:space="preserve">リファレンスチェック</t>
  </si>
  <si>
    <t xml:space="preserve">T54</t>
  </si>
  <si>
    <r>
      <rPr>
        <sz val="10"/>
        <rFont val="Arial"/>
        <family val="0"/>
        <charset val="1"/>
      </rPr>
      <t xml:space="preserve">TCO</t>
    </r>
    <r>
      <rPr>
        <sz val="10"/>
        <rFont val="WenQuanYi Zen Hei"/>
        <family val="2"/>
      </rPr>
      <t xml:space="preserve">（総保有コスト）で比較する</t>
    </r>
  </si>
  <si>
    <t xml:space="preserve">初期費用だけでなく、運用費と自社側の手作業を含めて比べる</t>
  </si>
  <si>
    <r>
      <rPr>
        <sz val="10"/>
        <rFont val="Arial"/>
        <family val="0"/>
        <charset val="1"/>
      </rPr>
      <t xml:space="preserve">TCO </t>
    </r>
    <r>
      <rPr>
        <sz val="10"/>
        <rFont val="WenQuanYi Zen Hei"/>
        <family val="2"/>
      </rPr>
      <t xml:space="preserve">比較表</t>
    </r>
  </si>
  <si>
    <r>
      <rPr>
        <sz val="10"/>
        <rFont val="WenQuanYi Zen Hei"/>
        <family val="2"/>
      </rPr>
      <t xml:space="preserve">初期費用、月額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期間、保守、自社側の手作業（時給換算）</t>
    </r>
  </si>
  <si>
    <t xml:space="preserve">各候補の総額に自社側の手作業が加算されている</t>
  </si>
  <si>
    <t xml:space="preserve">安い提案が自社の手作業を前提にしていることに気づかない</t>
  </si>
  <si>
    <r>
      <rPr>
        <sz val="10"/>
        <rFont val="Arial"/>
        <family val="0"/>
        <charset val="1"/>
      </rPr>
      <t xml:space="preserve">TCO </t>
    </r>
    <r>
      <rPr>
        <sz val="10"/>
        <rFont val="WenQuanYi Zen Hei"/>
        <family val="2"/>
      </rPr>
      <t xml:space="preserve">分析</t>
    </r>
  </si>
  <si>
    <t xml:space="preserve">T55</t>
  </si>
  <si>
    <t xml:space="preserve">選定を承認する</t>
  </si>
  <si>
    <t xml:space="preserve">予算超過は理由とセットで承認を得る</t>
  </si>
  <si>
    <t xml:space="preserve">選定理由書</t>
  </si>
  <si>
    <t xml:space="preserve">選定候補、点数、超過額と理由、承認者</t>
  </si>
  <si>
    <t xml:space="preserve">超過額とその理由が承認されている</t>
  </si>
  <si>
    <t xml:space="preserve">予算内に収めるために手作業を残す候補を選ぶ</t>
  </si>
  <si>
    <t xml:space="preserve">ステージゲート（選定）</t>
  </si>
  <si>
    <t xml:space="preserve">T56</t>
  </si>
  <si>
    <t xml:space="preserve">契約を分けて結ぶ（利用／導入支援／保守、準委任／請負、段階契約）</t>
  </si>
  <si>
    <t xml:space="preserve">要件が固まっていない段階で長期を約束しない</t>
  </si>
  <si>
    <t xml:space="preserve">契約書</t>
  </si>
  <si>
    <t xml:space="preserve">利用契約、導入支援契約（契約形態、月次成果確認）、保守契約、期間、更新条件</t>
  </si>
  <si>
    <t xml:space="preserve">情報システム／法務</t>
  </si>
  <si>
    <t xml:space="preserve">導入支援と保守が分かれ、準委任には月次の成果確認がある</t>
  </si>
  <si>
    <t xml:space="preserve">請負一括契約で、要件が変わるたびに追加見積になる</t>
  </si>
  <si>
    <t xml:space="preserve">準委任／請負／多段階契約</t>
  </si>
  <si>
    <t xml:space="preserve">T57</t>
  </si>
  <si>
    <r>
      <rPr>
        <sz val="10"/>
        <rFont val="WenQuanYi Zen Hei"/>
        <family val="2"/>
      </rPr>
      <t xml:space="preserve">見積内訳・責任分界点・出口条項・</t>
    </r>
    <r>
      <rPr>
        <sz val="10"/>
        <rFont val="Arial"/>
        <family val="0"/>
        <charset val="1"/>
      </rPr>
      <t xml:space="preserve">SLA </t>
    </r>
    <r>
      <rPr>
        <sz val="10"/>
        <rFont val="WenQuanYi Zen Hei"/>
        <family val="2"/>
      </rPr>
      <t xml:space="preserve">を確認する</t>
    </r>
  </si>
  <si>
    <t xml:space="preserve">「一式」を認めず、境目と出口を契約書に書く</t>
  </si>
  <si>
    <t xml:space="preserve">責任分界表、契約チェックリスト</t>
  </si>
  <si>
    <r>
      <rPr>
        <sz val="10"/>
        <rFont val="WenQuanYi Zen Hei"/>
        <family val="2"/>
      </rPr>
      <t xml:space="preserve">作業別の人日と単価、責任の境目、データエクスポート条件（全件・期限・形式）、成果物の帰属、</t>
    </r>
    <r>
      <rPr>
        <sz val="10"/>
        <rFont val="Arial"/>
        <family val="0"/>
        <charset val="1"/>
      </rPr>
      <t xml:space="preserve">SLA </t>
    </r>
    <r>
      <rPr>
        <sz val="10"/>
        <rFont val="WenQuanYi Zen Hei"/>
        <family val="2"/>
      </rPr>
      <t xml:space="preserve">と停止時の運用手順</t>
    </r>
  </si>
  <si>
    <r>
      <rPr>
        <sz val="10"/>
        <rFont val="WenQuanYi Zen Hei"/>
        <family val="2"/>
      </rPr>
      <t xml:space="preserve">内訳が行ごとに分かれ、責任分界・出口条項・</t>
    </r>
    <r>
      <rPr>
        <sz val="10"/>
        <rFont val="Arial"/>
        <family val="0"/>
        <charset val="1"/>
      </rPr>
      <t xml:space="preserve">SLA </t>
    </r>
    <r>
      <rPr>
        <sz val="10"/>
        <rFont val="WenQuanYi Zen Hei"/>
        <family val="2"/>
      </rPr>
      <t xml:space="preserve">が契約書に反映されている</t>
    </r>
  </si>
  <si>
    <t xml:space="preserve">ベンダーロックイン／境目の不具合で双方が責任を否認</t>
  </si>
  <si>
    <r>
      <rPr>
        <sz val="10"/>
        <rFont val="WenQuanYi Zen Hei"/>
        <family val="2"/>
      </rPr>
      <t xml:space="preserve">責任分界点／出口条項／</t>
    </r>
    <r>
      <rPr>
        <sz val="10"/>
        <rFont val="Arial"/>
        <family val="0"/>
        <charset val="1"/>
      </rPr>
      <t xml:space="preserve">SLA</t>
    </r>
    <r>
      <rPr>
        <sz val="10"/>
        <rFont val="WenQuanYi Zen Hei"/>
        <family val="2"/>
      </rPr>
      <t xml:space="preserve">／ベンダーロックイン対策</t>
    </r>
  </si>
  <si>
    <t xml:space="preserve">T58</t>
  </si>
  <si>
    <t xml:space="preserve">基本設計書を作成し、利用部門が承認する</t>
  </si>
  <si>
    <t xml:space="preserve">設定・開発の前に紙で合意し、「思っていたのと違う」を減らす</t>
  </si>
  <si>
    <t xml:space="preserve">基本設計書</t>
  </si>
  <si>
    <r>
      <rPr>
        <sz val="10"/>
        <rFont val="WenQuanYi Zen Hei"/>
        <family val="2"/>
      </rPr>
      <t xml:space="preserve">業務フロー（詳細）、画面、帳票、外部連携（</t>
    </r>
    <r>
      <rPr>
        <sz val="10"/>
        <rFont val="Arial"/>
        <family val="0"/>
        <charset val="1"/>
      </rPr>
      <t xml:space="preserve">IF</t>
    </r>
    <r>
      <rPr>
        <sz val="10"/>
        <rFont val="WenQuanYi Zen Hei"/>
        <family val="2"/>
      </rPr>
      <t xml:space="preserve">）、データ、権限、版</t>
    </r>
  </si>
  <si>
    <t xml:space="preserve">ベンダー／開発チーム</t>
  </si>
  <si>
    <t xml:space="preserve">利用部門が読んで承認した記録と版がある</t>
  </si>
  <si>
    <t xml:space="preserve">詳細設計まで利用部門に読ませる／設定後に初めて見せる</t>
  </si>
  <si>
    <t xml:space="preserve">基本設計（外部設計）</t>
  </si>
  <si>
    <t xml:space="preserve">T59</t>
  </si>
  <si>
    <t xml:space="preserve">異常系・境界値を設計し、連携先の冪等性を確認する</t>
  </si>
  <si>
    <t xml:space="preserve">設計書の価値は異常時の動作にある。再送側だけでなく受信側の重複排除条件を確認する</t>
  </si>
  <si>
    <r>
      <rPr>
        <sz val="10"/>
        <rFont val="Arial"/>
        <family val="0"/>
        <charset val="1"/>
      </rPr>
      <t xml:space="preserve">IF </t>
    </r>
    <r>
      <rPr>
        <sz val="10"/>
        <rFont val="WenQuanYi Zen Hei"/>
        <family val="2"/>
      </rPr>
      <t xml:space="preserve">設計（異常系）</t>
    </r>
  </si>
  <si>
    <t xml:space="preserve">無応答・処理中・不明コードの扱い、再送条件、受信側の重複排除条件、入力値の境界</t>
  </si>
  <si>
    <t xml:space="preserve">開発チーム、ベンダー</t>
  </si>
  <si>
    <r>
      <rPr>
        <sz val="10"/>
        <rFont val="WenQuanYi Zen Hei"/>
        <family val="2"/>
      </rPr>
      <t xml:space="preserve">全 </t>
    </r>
    <r>
      <rPr>
        <sz val="10"/>
        <rFont val="Arial"/>
        <family val="0"/>
        <charset val="1"/>
      </rPr>
      <t xml:space="preserve">IF </t>
    </r>
    <r>
      <rPr>
        <sz val="10"/>
        <rFont val="WenQuanYi Zen Hei"/>
        <family val="2"/>
      </rPr>
      <t xml:space="preserve">に異常系の記述があり、受信側の重複排除条件（どの状態を見るか）まで確認済み</t>
    </r>
  </si>
  <si>
    <t xml:space="preserve">「重複は弾けます」を聞いて安心し、中間状態が抜ける</t>
  </si>
  <si>
    <t xml:space="preserve">異常系設計／冪等性</t>
  </si>
  <si>
    <t xml:space="preserve">T60</t>
  </si>
  <si>
    <t xml:space="preserve">トランザクション・監査ログ・権限を設計する</t>
  </si>
  <si>
    <t xml:space="preserve">部分的に残らないようにし、誰がいつ何をしたかを残す</t>
  </si>
  <si>
    <t xml:space="preserve">データ設計・権限設計</t>
  </si>
  <si>
    <t xml:space="preserve">一つの単位として扱う操作、監査ログ項目、役割別権限</t>
  </si>
  <si>
    <t xml:space="preserve">更新の単位が定義され、監査ログが標準で残る設定になっている</t>
  </si>
  <si>
    <t xml:space="preserve">片方だけ更新されて整合が崩れる</t>
  </si>
  <si>
    <t xml:space="preserve">トランザクション整合性／監査ログ／権限設計</t>
  </si>
  <si>
    <t xml:space="preserve">T61</t>
  </si>
  <si>
    <t xml:space="preserve">設計レビューで未決事項を業務オーナーに決めさせる</t>
  </si>
  <si>
    <t xml:space="preserve">現場を知る人がレビューに出て、決定者の名前を記録する</t>
  </si>
  <si>
    <t xml:space="preserve">設計レビュー記録</t>
  </si>
  <si>
    <t xml:space="preserve">指摘、未決事項、決定内容、決定者、日付、所要時間</t>
  </si>
  <si>
    <t xml:space="preserve">未決事項の全件に決定者の名前がある</t>
  </si>
  <si>
    <r>
      <rPr>
        <sz val="10"/>
        <rFont val="WenQuanYi Zen Hei"/>
        <family val="2"/>
      </rPr>
      <t xml:space="preserve">ベンダーや 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が代わりに決める</t>
    </r>
  </si>
  <si>
    <t xml:space="preserve">設計レビュー／意思決定ログ</t>
  </si>
  <si>
    <t xml:space="preserve">T62</t>
  </si>
  <si>
    <t xml:space="preserve">主要画面を先行設定して現場に触らせる</t>
  </si>
  <si>
    <t xml:space="preserve">借りる場合は紙の絵でなく本物の一部で確かめる</t>
  </si>
  <si>
    <t xml:space="preserve">プロトタイプ確認記録</t>
  </si>
  <si>
    <t xml:space="preserve">対象画面、確認者、指摘、対応</t>
  </si>
  <si>
    <t xml:space="preserve">ベンダー</t>
  </si>
  <si>
    <t xml:space="preserve">最も仕事が変わる人が実画面で確認した記録がある</t>
  </si>
  <si>
    <t xml:space="preserve">紙のモックに慣れて本物で「違う」になる</t>
  </si>
  <si>
    <t xml:space="preserve">プロトタイピング（設定型）</t>
  </si>
  <si>
    <t xml:space="preserve">T63</t>
  </si>
  <si>
    <t xml:space="preserve">設計書に版を付けて承認する</t>
  </si>
  <si>
    <t xml:space="preserve">どの版で合意したかを変更の起点にする</t>
  </si>
  <si>
    <r>
      <rPr>
        <sz val="10"/>
        <rFont val="WenQuanYi Zen Hei"/>
        <family val="2"/>
      </rPr>
      <t xml:space="preserve">基本設計書 </t>
    </r>
    <r>
      <rPr>
        <sz val="10"/>
        <rFont val="Arial"/>
        <family val="0"/>
        <charset val="1"/>
      </rPr>
      <t xml:space="preserve">v1.0</t>
    </r>
  </si>
  <si>
    <t xml:space="preserve">版、承認日、承認者、設定値の版</t>
  </si>
  <si>
    <t xml:space="preserve">表紙に版・日付・承認者があり、設定値が版と紐づく</t>
  </si>
  <si>
    <t xml:space="preserve">変更要求が何からの変更か分からない</t>
  </si>
  <si>
    <t xml:space="preserve">構成管理（版管理）</t>
  </si>
  <si>
    <t xml:space="preserve">T64</t>
  </si>
  <si>
    <r>
      <rPr>
        <sz val="10"/>
        <rFont val="Arial"/>
        <family val="0"/>
        <charset val="1"/>
      </rPr>
      <t xml:space="preserve">WBS </t>
    </r>
    <r>
      <rPr>
        <sz val="10"/>
        <rFont val="WenQuanYi Zen Hei"/>
        <family val="2"/>
      </rPr>
      <t xml:space="preserve">を作り、クリティカルパスとマイルストーンを置く</t>
    </r>
  </si>
  <si>
    <t xml:space="preserve">遅れが期限に直結する作業列に予備を置き、節目に通過条件を書く</t>
  </si>
  <si>
    <t xml:space="preserve">WBS</t>
  </si>
  <si>
    <r>
      <rPr>
        <sz val="10"/>
        <rFont val="WenQuanYi Zen Hei"/>
        <family val="2"/>
      </rPr>
      <t xml:space="preserve">作業 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、担当、予定、状況、クリティカルパス、マイルストーンと通過条件</t>
    </r>
  </si>
  <si>
    <t xml:space="preserve">クリティカルパスに外部日程が含まれ、各節目に通過条件がある</t>
  </si>
  <si>
    <t xml:space="preserve">全作業に予備を置いて全て使い切る／日付だけの節目</t>
  </si>
  <si>
    <r>
      <rPr>
        <sz val="10"/>
        <rFont val="Arial"/>
        <family val="0"/>
        <charset val="1"/>
      </rPr>
      <t xml:space="preserve">WBS</t>
    </r>
    <r>
      <rPr>
        <sz val="10"/>
        <rFont val="WenQuanYi Zen Hei"/>
        <family val="2"/>
      </rPr>
      <t xml:space="preserve">／クリティカルパス／マイルストーン</t>
    </r>
  </si>
  <si>
    <t xml:space="preserve">T65</t>
  </si>
  <si>
    <t xml:space="preserve">残作業を三点見積で見積もる</t>
  </si>
  <si>
    <t xml:space="preserve">楽観・最頻・悲観で聞き、計画には悲観値を置く</t>
  </si>
  <si>
    <t xml:space="preserve">見積記録</t>
  </si>
  <si>
    <t xml:space="preserve">作業、楽観、最頻、悲観、採用値</t>
  </si>
  <si>
    <t xml:space="preserve">計画に悲観値が採用されている</t>
  </si>
  <si>
    <t xml:space="preserve">余裕があると着手が遅れる（学生症候群）</t>
  </si>
  <si>
    <t xml:space="preserve">三点見積／バッファ管理</t>
  </si>
  <si>
    <t xml:space="preserve">T66</t>
  </si>
  <si>
    <t xml:space="preserve">週次進捗会を残作業名で運営する</t>
  </si>
  <si>
    <r>
      <rPr>
        <sz val="10"/>
        <rFont val="WenQuanYi Zen Hei"/>
        <family val="2"/>
      </rPr>
      <t xml:space="preserve">割合で聞かず、担当が解けない障害を 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が除く</t>
    </r>
  </si>
  <si>
    <t xml:space="preserve">進捗表</t>
  </si>
  <si>
    <r>
      <rPr>
        <sz val="10"/>
        <rFont val="WenQuanYi Zen Hei"/>
        <family val="2"/>
      </rPr>
      <t xml:space="preserve">残作業の名称、担当が解けない障害、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の対応</t>
    </r>
  </si>
  <si>
    <t xml:space="preserve">進捗が割合でなく残作業の名称で記録されている</t>
  </si>
  <si>
    <t xml:space="preserve">「九割完了」が数週間続く</t>
  </si>
  <si>
    <t xml:space="preserve">進捗管理</t>
  </si>
  <si>
    <t xml:space="preserve">T67</t>
  </si>
  <si>
    <t xml:space="preserve">課題管理表とリスク管理表を分けて運用する</t>
  </si>
  <si>
    <t xml:space="preserve">発生済みと未発生を分け、発生したら移す</t>
  </si>
  <si>
    <t xml:space="preserve">課題管理表、リスク管理表</t>
  </si>
  <si>
    <r>
      <rPr>
        <sz val="10"/>
        <rFont val="WenQuanYi Zen Hei"/>
        <family val="2"/>
      </rPr>
      <t xml:space="preserve">課題（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、内容、担当、期限、状態）／リスク（内容、確率、影響、対策）</t>
    </r>
  </si>
  <si>
    <t xml:space="preserve">二表が分かれ、発生したリスクが課題へ移されている</t>
  </si>
  <si>
    <t xml:space="preserve">一表に混在し何が起きているか分からない</t>
  </si>
  <si>
    <t xml:space="preserve">課題管理／リスク管理</t>
  </si>
  <si>
    <t xml:space="preserve">T68</t>
  </si>
  <si>
    <t xml:space="preserve">コミュニケーション計画を作る</t>
  </si>
  <si>
    <t xml:space="preserve">誰に・いつ・何を伝えるかを決め、現場の関心を保つ</t>
  </si>
  <si>
    <t xml:space="preserve">コミュニケーション計画</t>
  </si>
  <si>
    <t xml:space="preserve">頻度、相手、手段、内容（現場向け、経営向け、外部向け）</t>
  </si>
  <si>
    <t xml:space="preserve">最も仕事が変わる現場担当者への定期連絡が含まれている</t>
  </si>
  <si>
    <t xml:space="preserve">現場が「何か決まったらしい」状態になる</t>
  </si>
  <si>
    <t xml:space="preserve">T69</t>
  </si>
  <si>
    <t xml:space="preserve">変更要求を手順に乗せる</t>
  </si>
  <si>
    <t xml:space="preserve">影響を評価し、決める場で決める</t>
  </si>
  <si>
    <t xml:space="preserve">変更要求票</t>
  </si>
  <si>
    <t xml:space="preserve">内容、要求者、理由、影響（工数・費用・日程）、判断の場、結果</t>
  </si>
  <si>
    <t xml:space="preserve">全変更に影響評価と判断結果が残っている</t>
  </si>
  <si>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が担当に直接依頼し、影響を見ずに入れる</t>
    </r>
  </si>
  <si>
    <r>
      <rPr>
        <sz val="10"/>
        <rFont val="WenQuanYi Zen Hei"/>
        <family val="2"/>
      </rPr>
      <t xml:space="preserve">変更管理（</t>
    </r>
    <r>
      <rPr>
        <sz val="10"/>
        <rFont val="Arial"/>
        <family val="0"/>
        <charset val="1"/>
      </rPr>
      <t xml:space="preserve">CR</t>
    </r>
    <r>
      <rPr>
        <sz val="10"/>
        <rFont val="WenQuanYi Zen Hei"/>
        <family val="2"/>
      </rPr>
      <t xml:space="preserve">）</t>
    </r>
  </si>
  <si>
    <t xml:space="preserve">T70</t>
  </si>
  <si>
    <r>
      <rPr>
        <sz val="10"/>
        <rFont val="WenQuanYi Zen Hei"/>
        <family val="2"/>
      </rPr>
      <t xml:space="preserve">担当が解決できない障害を 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が除去する</t>
    </r>
  </si>
  <si>
    <t xml:space="preserve">環境・契約・外部調整など担当の権限外の障害を引き取る</t>
  </si>
  <si>
    <t xml:space="preserve">障害対応記録</t>
  </si>
  <si>
    <t xml:space="preserve">障害、対応先、結果、費用</t>
  </si>
  <si>
    <r>
      <rPr>
        <sz val="10"/>
        <rFont val="WenQuanYi Zen Hei"/>
        <family val="2"/>
      </rPr>
      <t xml:space="preserve">障害が 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の対応で解消した記録がある</t>
    </r>
  </si>
  <si>
    <t xml:space="preserve">担当を責めて遅れが隠れる</t>
  </si>
  <si>
    <t xml:space="preserve">障害除去（進捗会の役割）</t>
  </si>
  <si>
    <t xml:space="preserve">T71</t>
  </si>
  <si>
    <t xml:space="preserve">固定部分は一括、可変部分は反復で進める</t>
  </si>
  <si>
    <t xml:space="preserve">仕様が固まる連携は一括、触らないと分からない画面は短い反復で</t>
  </si>
  <si>
    <t xml:space="preserve">反復記録</t>
  </si>
  <si>
    <t xml:space="preserve">反復回、対象、指摘、対応</t>
  </si>
  <si>
    <t xml:space="preserve">画面が定期的に現場と反復され、連携仕様は凍結されている</t>
  </si>
  <si>
    <t xml:space="preserve">全てを反復にして連携先が困る／全てを一括にして画面が合わない</t>
  </si>
  <si>
    <r>
      <rPr>
        <sz val="10"/>
        <rFont val="WenQuanYi Zen Hei"/>
        <family val="2"/>
      </rPr>
      <t xml:space="preserve">ハイブリッド開発（ウォーターフォール＋アジャイル）／</t>
    </r>
    <r>
      <rPr>
        <sz val="10"/>
        <rFont val="Arial"/>
        <family val="0"/>
        <charset val="1"/>
      </rPr>
      <t xml:space="preserve">MVP</t>
    </r>
  </si>
  <si>
    <t xml:space="preserve">T72</t>
  </si>
  <si>
    <t xml:space="preserve">テスト計画を一枚で作る</t>
  </si>
  <si>
    <t xml:space="preserve">観点・範囲・環境・データ・体制・合格基準を明確にする</t>
  </si>
  <si>
    <t xml:space="preserve">テスト計画</t>
  </si>
  <si>
    <t xml:space="preserve">観点、範囲、環境、データ、体制、合格基準、段階ごとの担当</t>
  </si>
  <si>
    <r>
      <rPr>
        <sz val="10"/>
        <rFont val="WenQuanYi Zen Hei"/>
        <family val="2"/>
      </rPr>
      <t xml:space="preserve">ベンダー／</t>
    </r>
    <r>
      <rPr>
        <sz val="10"/>
        <rFont val="Arial"/>
        <family val="0"/>
        <charset val="1"/>
      </rPr>
      <t xml:space="preserve">PMO</t>
    </r>
  </si>
  <si>
    <t xml:space="preserve">四段階（単体・結合・システム・受入）の担当と合格基準が一枚にある</t>
  </si>
  <si>
    <t xml:space="preserve">分厚い計画書を誰も読まない</t>
  </si>
  <si>
    <t xml:space="preserve">T73</t>
  </si>
  <si>
    <t xml:space="preserve">シナリオを正常系・異常系・境界値で作る</t>
  </si>
  <si>
    <t xml:space="preserve">業務を一巡させ、異常系と境界値を別に試す</t>
  </si>
  <si>
    <t xml:space="preserve">テストシナリオ</t>
  </si>
  <si>
    <r>
      <rPr>
        <sz val="10"/>
        <rFont val="WenQuanYi Zen Hei"/>
        <family val="2"/>
      </rPr>
      <t xml:space="preserve">シナリオ </t>
    </r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、手順、確認点、異常系、境界値</t>
    </r>
  </si>
  <si>
    <t xml:space="preserve">異常系と境界値が正常系と別番号で存在する</t>
  </si>
  <si>
    <t xml:space="preserve">正常系だけ試して本番で初めて異常動作を知る</t>
  </si>
  <si>
    <t xml:space="preserve">シナリオテスト／異常系テスト／境界値テスト</t>
  </si>
  <si>
    <t xml:space="preserve">T74</t>
  </si>
  <si>
    <t xml:space="preserve">結合テストと不具合管理を行う</t>
  </si>
  <si>
    <t xml:space="preserve">原因と対策を残し、集中箇所から設計の問題を見つける</t>
  </si>
  <si>
    <t xml:space="preserve">不具合管理表</t>
  </si>
  <si>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、発見日、内容、原因、対策、担当、期限、状態</t>
    </r>
  </si>
  <si>
    <t xml:space="preserve">全不具合に原因と対策があり、集中箇所が分析されている</t>
  </si>
  <si>
    <t xml:space="preserve">原因を書かずに直す</t>
  </si>
  <si>
    <t xml:space="preserve">不具合管理</t>
  </si>
  <si>
    <t xml:space="preserve">T75</t>
  </si>
  <si>
    <t xml:space="preserve">修正のたびに回帰テストを行う</t>
  </si>
  <si>
    <t xml:space="preserve">修正が隣を壊すことを前提に全シナリオを再実行する</t>
  </si>
  <si>
    <t xml:space="preserve">回帰テスト記録</t>
  </si>
  <si>
    <t xml:space="preserve">修正内容、再実行シナリオ、新規不具合</t>
  </si>
  <si>
    <t xml:space="preserve">修正後に全シナリオが再実行されている</t>
  </si>
  <si>
    <t xml:space="preserve">修正箇所だけ確認する</t>
  </si>
  <si>
    <t xml:space="preserve">回帰テスト</t>
  </si>
  <si>
    <t xml:space="preserve">T76</t>
  </si>
  <si>
    <t xml:space="preserve">ピーク条件で性能テストを行う</t>
  </si>
  <si>
    <t xml:space="preserve">非機能要件のピーク件数で稼働前に確かめる</t>
  </si>
  <si>
    <t xml:space="preserve">性能テスト結果</t>
  </si>
  <si>
    <t xml:space="preserve">件数、応答時間、結果</t>
  </si>
  <si>
    <t xml:space="preserve">非機能要件のピーク条件で応答が確認されている</t>
  </si>
  <si>
    <t xml:space="preserve">平常件数で試し、月末に性能が出ない</t>
  </si>
  <si>
    <t xml:space="preserve">性能テスト</t>
  </si>
  <si>
    <t xml:space="preserve">T77</t>
  </si>
  <si>
    <r>
      <rPr>
        <sz val="10"/>
        <rFont val="WenQuanYi Zen Hei"/>
        <family val="2"/>
      </rPr>
      <t xml:space="preserve">受入テスト（</t>
    </r>
    <r>
      <rPr>
        <sz val="10"/>
        <rFont val="Arial"/>
        <family val="0"/>
        <charset val="1"/>
      </rPr>
      <t xml:space="preserve">UAT</t>
    </r>
    <r>
      <rPr>
        <sz val="10"/>
        <rFont val="WenQuanYi Zen Hei"/>
        <family val="2"/>
      </rPr>
      <t xml:space="preserve">）を合格基準で判定し署名を得る</t>
    </r>
  </si>
  <si>
    <t xml:space="preserve">利用部門が自分の業務として使い、事前基準で判定する</t>
  </si>
  <si>
    <r>
      <rPr>
        <sz val="10"/>
        <rFont val="Arial"/>
        <family val="0"/>
        <charset val="1"/>
      </rPr>
      <t xml:space="preserve">UAT </t>
    </r>
    <r>
      <rPr>
        <sz val="10"/>
        <rFont val="WenQuanYi Zen Hei"/>
        <family val="2"/>
      </rPr>
      <t xml:space="preserve">合格報告</t>
    </r>
  </si>
  <si>
    <t xml:space="preserve">合格基準、結果、重大不具合の回避策、業務オーナーの署名</t>
  </si>
  <si>
    <t xml:space="preserve">業務オーナーの署名があり、重大不具合の回避策が文書化されている</t>
  </si>
  <si>
    <t xml:space="preserve">整った試験データだけで試し、実データの汚れを拾えない</t>
  </si>
  <si>
    <r>
      <rPr>
        <sz val="10"/>
        <rFont val="Arial"/>
        <family val="0"/>
        <charset val="1"/>
      </rPr>
      <t xml:space="preserve">UAT</t>
    </r>
    <r>
      <rPr>
        <sz val="10"/>
        <rFont val="WenQuanYi Zen Hei"/>
        <family val="2"/>
      </rPr>
      <t xml:space="preserve">／受入基準</t>
    </r>
  </si>
  <si>
    <t xml:space="preserve">T78</t>
  </si>
  <si>
    <t xml:space="preserve">切替方式とロールバック基準を決める</t>
  </si>
  <si>
    <t xml:space="preserve">一括／並行／段階を比較し、戻す基準と判断者を先に決める</t>
  </si>
  <si>
    <t xml:space="preserve">切替計画書</t>
  </si>
  <si>
    <t xml:space="preserve">方式比較、単位ごとの日程、ロールバック基準・判断者・戻し方</t>
  </si>
  <si>
    <t xml:space="preserve">単位ごとの日程と、戻す判断の期限・判断者が書かれている</t>
  </si>
  <si>
    <t xml:space="preserve">一括切替で全業務が止まる</t>
  </si>
  <si>
    <t xml:space="preserve">移行方式（一括・並行・段階）／ロールバック計画</t>
  </si>
  <si>
    <t xml:space="preserve">T79</t>
  </si>
  <si>
    <t xml:space="preserve">業務凍結と暫定業務の手順を書く</t>
  </si>
  <si>
    <t xml:space="preserve">停止中に来た取引の扱いと、新旧混在期間の手順を決める</t>
  </si>
  <si>
    <t xml:space="preserve">業務凍結表、暫定業務手順</t>
  </si>
  <si>
    <t xml:space="preserve">停止時刻、データ抽出時刻、凍結中の取引の受け方、混在期間の手順</t>
  </si>
  <si>
    <t xml:space="preserve">凍結中と混在期間に発生した取引の扱いが書かれている</t>
  </si>
  <si>
    <t xml:space="preserve">切替翌朝に「昨日の分はどこに入れるか」が決まっていない</t>
  </si>
  <si>
    <t xml:space="preserve">業務凍結／暫定業務（ブリッジ）</t>
  </si>
  <si>
    <t xml:space="preserve">T80</t>
  </si>
  <si>
    <t xml:space="preserve">切替手順書を分単位で書き、当日体制（四役）を決める</t>
  </si>
  <si>
    <t xml:space="preserve">指揮・対応・連絡・記録を分け、指揮は手を動かさない</t>
  </si>
  <si>
    <t xml:space="preserve">切替手順書、当日体制表</t>
  </si>
  <si>
    <t xml:space="preserve">時刻、担当、作業、件数・金額の照合、判定時刻、四役</t>
  </si>
  <si>
    <t xml:space="preserve">分単位の手順と四役があり、指揮が対応を兼ねていない</t>
  </si>
  <si>
    <t xml:space="preserve">指揮が対応を始めて誰も全体を見ない</t>
  </si>
  <si>
    <t xml:space="preserve">切替手順書／インシデント対応体制（指揮・対応・連絡・記録）</t>
  </si>
  <si>
    <t xml:space="preserve">T81</t>
  </si>
  <si>
    <t xml:space="preserve">データ移行を計画し、リハーサルを二回行う</t>
  </si>
  <si>
    <t xml:space="preserve">変換ルールを表にし、一回目で壊れる箇所を知り、二回目で確認する。件数と金額を照合する</t>
  </si>
  <si>
    <t xml:space="preserve">データ移行計画、変換ルール表、リハーサル結果</t>
  </si>
  <si>
    <t xml:space="preserve">対象データ、変換ルール、エラー内訳、対象外、件数・金額の照合結果</t>
  </si>
  <si>
    <t xml:space="preserve">開発チーム</t>
  </si>
  <si>
    <t xml:space="preserve">二回目のエラーが基準以下で、件数と金額の両方が照合されている</t>
  </si>
  <si>
    <t xml:space="preserve">手で直して本番でも手で直す／件数だけ照合して金額が合わない</t>
  </si>
  <si>
    <t xml:space="preserve">データ移行計画／移行リハーサル／移行データ検証</t>
  </si>
  <si>
    <t xml:space="preserve">T82</t>
  </si>
  <si>
    <t xml:space="preserve">社内・取引先に周知する</t>
  </si>
  <si>
    <t xml:space="preserve">影響が大きく関心が低い相手に、先に「何が変わらないか」を伝える</t>
  </si>
  <si>
    <t xml:space="preserve">周知文</t>
  </si>
  <si>
    <t xml:space="preserve">相手、内容、送付者、時期、返信</t>
  </si>
  <si>
    <t xml:space="preserve">影響大・関心低の相手への周知が切替前に届いている</t>
  </si>
  <si>
    <t xml:space="preserve">取引先が切替日を知らず、自分の都合で日程を決める</t>
  </si>
  <si>
    <t xml:space="preserve">切替の周知</t>
  </si>
  <si>
    <t xml:space="preserve">T83</t>
  </si>
  <si>
    <r>
      <rPr>
        <sz val="10"/>
        <rFont val="WenQuanYi Zen Hei"/>
        <family val="2"/>
      </rPr>
      <t xml:space="preserve">教育を複数回行い、マニュアルと </t>
    </r>
    <r>
      <rPr>
        <sz val="10"/>
        <rFont val="Arial"/>
        <family val="0"/>
        <charset val="1"/>
      </rPr>
      <t xml:space="preserve">FAQ </t>
    </r>
    <r>
      <rPr>
        <sz val="10"/>
        <rFont val="WenQuanYi Zen Hei"/>
        <family val="2"/>
      </rPr>
      <t xml:space="preserve">を用意する</t>
    </r>
  </si>
  <si>
    <t xml:space="preserve">説明会→実機演習→直前確認の三段階</t>
  </si>
  <si>
    <r>
      <rPr>
        <sz val="10"/>
        <rFont val="WenQuanYi Zen Hei"/>
        <family val="2"/>
      </rPr>
      <t xml:space="preserve">教育計画、マニュアル、</t>
    </r>
    <r>
      <rPr>
        <sz val="10"/>
        <rFont val="Arial"/>
        <family val="0"/>
        <charset val="1"/>
      </rPr>
      <t xml:space="preserve">FAQ</t>
    </r>
  </si>
  <si>
    <r>
      <rPr>
        <sz val="10"/>
        <rFont val="WenQuanYi Zen Hei"/>
        <family val="2"/>
      </rPr>
      <t xml:space="preserve">回数、日程、対象、内容、受講記録、マニュアル、</t>
    </r>
    <r>
      <rPr>
        <sz val="10"/>
        <rFont val="Arial"/>
        <family val="0"/>
        <charset val="1"/>
      </rPr>
      <t xml:space="preserve">FAQ</t>
    </r>
  </si>
  <si>
    <r>
      <rPr>
        <sz val="10"/>
        <rFont val="Arial"/>
        <family val="0"/>
        <charset val="1"/>
      </rPr>
      <t xml:space="preserve">PMO</t>
    </r>
    <r>
      <rPr>
        <sz val="10"/>
        <rFont val="WenQuanYi Zen Hei"/>
        <family val="2"/>
      </rPr>
      <t xml:space="preserve">、ベンダー</t>
    </r>
  </si>
  <si>
    <t xml:space="preserve">全担当者が複数回受講し、受講率が判定表に載っている</t>
  </si>
  <si>
    <t xml:space="preserve">説明会一回で終わる</t>
  </si>
  <si>
    <t xml:space="preserve">教育計画／変化曲線の事前説明</t>
  </si>
  <si>
    <t xml:space="preserve">T84</t>
  </si>
  <si>
    <t xml:space="preserve">カットオーバー判定を表で行う</t>
  </si>
  <si>
    <t xml:space="preserve">項目と基準を先に決め、判定者の承認を残す</t>
  </si>
  <si>
    <t xml:space="preserve">カットオーバー判定表</t>
  </si>
  <si>
    <t xml:space="preserve">項目、基準、実績、判定、判定者の承認</t>
  </si>
  <si>
    <t xml:space="preserve">全項目に基準と実績があり、承認がある</t>
  </si>
  <si>
    <t xml:space="preserve">「たぶん大丈夫」で切り替える</t>
  </si>
  <si>
    <t xml:space="preserve">カットオーバー判定</t>
  </si>
  <si>
    <t xml:space="preserve">T85</t>
  </si>
  <si>
    <t xml:space="preserve">切替を実施し、旧手段を停止する</t>
  </si>
  <si>
    <t xml:space="preserve">成功の姿は「誰も気づかない」。旧ファイルは残しても書けなくする</t>
  </si>
  <si>
    <t xml:space="preserve">切替記録</t>
  </si>
  <si>
    <t xml:space="preserve">時刻ごとの記録、発生事象、回避策、ロールバック有無、旧手段の停止</t>
  </si>
  <si>
    <t xml:space="preserve">単位ごとの切替が記録され、旧手段が書けなくなっている</t>
  </si>
  <si>
    <t xml:space="preserve">「念のため」残した旧ファイルが使われ続ける</t>
  </si>
  <si>
    <t xml:space="preserve">本番切替／旧手段の停止（抜け道の封鎖）</t>
  </si>
  <si>
    <t xml:space="preserve">T86</t>
  </si>
  <si>
    <t xml:space="preserve">ハイパーケア期間を設け、問い合わせを四類型で分類する</t>
  </si>
  <si>
    <t xml:space="preserve">知らない・できない・やりたくない・得がない、で手を変える</t>
  </si>
  <si>
    <t xml:space="preserve">問い合わせ台帳</t>
  </si>
  <si>
    <t xml:space="preserve">日付、内容、分類（四類型）、対応、対応者</t>
  </si>
  <si>
    <t xml:space="preserve">四類型ごとに手が違うことが台帳から読める</t>
  </si>
  <si>
    <t xml:space="preserve">全てを「教育不足」でまとめる</t>
  </si>
  <si>
    <t xml:space="preserve">ハイパーケア／抵抗の四類型</t>
  </si>
  <si>
    <t xml:space="preserve">T87</t>
  </si>
  <si>
    <t xml:space="preserve">生産性が一時的に下がることを先に伝え、キーユーザーを置く</t>
  </si>
  <si>
    <t xml:space="preserve">変化曲線を事前に伝え、部署ごとに先に覚えた人を置く</t>
  </si>
  <si>
    <t xml:space="preserve">キーユーザー一覧</t>
  </si>
  <si>
    <t xml:space="preserve">部署、キーユーザー、役割、事前に伝えた内容</t>
  </si>
  <si>
    <t xml:space="preserve">部署ごとにキーユーザーが決まり、一時的な低下を伝えた記録がある</t>
  </si>
  <si>
    <t xml:space="preserve">「前の方が良かった」で戻し、二度と追い越せない</t>
  </si>
  <si>
    <r>
      <rPr>
        <sz val="10"/>
        <rFont val="WenQuanYi Zen Hei"/>
        <family val="2"/>
      </rPr>
      <t xml:space="preserve">変化曲線／キーユーザー制／</t>
    </r>
    <r>
      <rPr>
        <sz val="10"/>
        <rFont val="Arial"/>
        <family val="0"/>
        <charset val="1"/>
      </rPr>
      <t xml:space="preserve">ADKAR</t>
    </r>
  </si>
  <si>
    <t xml:space="preserve">T88</t>
  </si>
  <si>
    <r>
      <rPr>
        <sz val="10"/>
        <rFont val="Arial"/>
        <family val="0"/>
        <charset val="1"/>
      </rPr>
      <t xml:space="preserve">FAQ </t>
    </r>
    <r>
      <rPr>
        <sz val="10"/>
        <rFont val="WenQuanYi Zen Hei"/>
        <family val="2"/>
      </rPr>
      <t xml:space="preserve">を作り、追加研修を行う</t>
    </r>
  </si>
  <si>
    <t xml:space="preserve">同じ問い合わせが来なくなるまで</t>
  </si>
  <si>
    <t xml:space="preserve">FAQ</t>
  </si>
  <si>
    <t xml:space="preserve">質問、回答、掲示場所</t>
  </si>
  <si>
    <r>
      <rPr>
        <sz val="10"/>
        <rFont val="WenQuanYi Zen Hei"/>
        <family val="2"/>
      </rPr>
      <t xml:space="preserve">問い合わせ上位が </t>
    </r>
    <r>
      <rPr>
        <sz val="10"/>
        <rFont val="Arial"/>
        <family val="0"/>
        <charset val="1"/>
      </rPr>
      <t xml:space="preserve">FAQ </t>
    </r>
    <r>
      <rPr>
        <sz val="10"/>
        <rFont val="WenQuanYi Zen Hei"/>
        <family val="2"/>
      </rPr>
      <t xml:space="preserve">化され、同種の問い合わせが減っている</t>
    </r>
  </si>
  <si>
    <t xml:space="preserve">マニュアルに追記するだけで誰も読まない</t>
  </si>
  <si>
    <t xml:space="preserve">T89</t>
  </si>
  <si>
    <t xml:space="preserve">定着度を測る（旧手段の残存を数える）</t>
  </si>
  <si>
    <t xml:space="preserve">利用率より旧手段の使用回数のほうが定着を正直に表す</t>
  </si>
  <si>
    <t xml:space="preserve">定着度レポート</t>
  </si>
  <si>
    <t xml:space="preserve">旧手段の使用回数、新システム利用率、問い合わせ件数（週次）</t>
  </si>
  <si>
    <t xml:space="preserve">旧手段の使用回数がゼロになった週が記録されている</t>
  </si>
  <si>
    <t xml:space="preserve">利用率だけ見て抜け道に気づかない</t>
  </si>
  <si>
    <t xml:space="preserve">定着度測定</t>
  </si>
  <si>
    <t xml:space="preserve">T90</t>
  </si>
  <si>
    <t xml:space="preserve">経営者が短期成果を自分の言葉で伝える</t>
  </si>
  <si>
    <t xml:space="preserve">効いたことを早く具体的に伝える</t>
  </si>
  <si>
    <t xml:space="preserve">経営メッセージ記録</t>
  </si>
  <si>
    <t xml:space="preserve">日付、経営者の発言、指標</t>
  </si>
  <si>
    <t xml:space="preserve">切替後短期間に経営者が具体的成果を伝えた記録がある</t>
  </si>
  <si>
    <t xml:space="preserve">承認印だけで伝わったと思う</t>
  </si>
  <si>
    <r>
      <rPr>
        <sz val="10"/>
        <rFont val="WenQuanYi Zen Hei"/>
        <family val="2"/>
      </rPr>
      <t xml:space="preserve">短期成果の見える化（</t>
    </r>
    <r>
      <rPr>
        <sz val="10"/>
        <rFont val="Arial"/>
        <family val="0"/>
        <charset val="1"/>
      </rPr>
      <t xml:space="preserve">Kotter</t>
    </r>
    <r>
      <rPr>
        <sz val="10"/>
        <rFont val="WenQuanYi Zen Hei"/>
        <family val="2"/>
      </rPr>
      <t xml:space="preserve">）</t>
    </r>
  </si>
  <si>
    <t xml:space="preserve">T91</t>
  </si>
  <si>
    <t xml:space="preserve">運用設計書を作る</t>
  </si>
  <si>
    <t xml:space="preserve">プロジェクト終了後の担当と手順を決める</t>
  </si>
  <si>
    <t xml:space="preserve">運用設計書</t>
  </si>
  <si>
    <t xml:space="preserve">窓口、マスタ管理、不具合対応、変更要求、版上げ、監視、権限棚卸し、バックアップ、手順書の更新責任、暫定対応の撤去期限、効果測定、年次棚卸し、継続改善</t>
  </si>
  <si>
    <t xml:space="preserve">各項目に担当と時期があり、暫定対応の撤去期限がある</t>
  </si>
  <si>
    <t xml:space="preserve">半年後に誰も触れないシステムになる</t>
  </si>
  <si>
    <r>
      <rPr>
        <sz val="10"/>
        <rFont val="WenQuanYi Zen Hei"/>
        <family val="2"/>
      </rPr>
      <t xml:space="preserve">運用設計／</t>
    </r>
    <r>
      <rPr>
        <sz val="10"/>
        <rFont val="Arial"/>
        <family val="0"/>
        <charset val="1"/>
      </rPr>
      <t xml:space="preserve">ITSM</t>
    </r>
    <r>
      <rPr>
        <sz val="10"/>
        <rFont val="WenQuanYi Zen Hei"/>
        <family val="2"/>
      </rPr>
      <t xml:space="preserve">／技術的負債管理／業務標準の維持</t>
    </r>
  </si>
  <si>
    <t xml:space="preserve">T92</t>
  </si>
  <si>
    <t xml:space="preserve">効果を測定し、回収期間を実績で更新する</t>
  </si>
  <si>
    <r>
      <rPr>
        <sz val="10"/>
        <rFont val="WenQuanYi Zen Hei"/>
        <family val="2"/>
      </rPr>
      <t xml:space="preserve">構想書の </t>
    </r>
    <r>
      <rPr>
        <sz val="10"/>
        <rFont val="Arial"/>
        <family val="0"/>
        <charset val="1"/>
      </rPr>
      <t xml:space="preserve">KPI </t>
    </r>
    <r>
      <rPr>
        <sz val="10"/>
        <rFont val="WenQuanYi Zen Hei"/>
        <family val="2"/>
      </rPr>
      <t xml:space="preserve">に対して報告し、半年程度は毎月測る</t>
    </r>
  </si>
  <si>
    <t xml:space="preserve">効果測定報告</t>
  </si>
  <si>
    <r>
      <rPr>
        <sz val="10"/>
        <rFont val="Arial"/>
        <family val="0"/>
        <charset val="1"/>
      </rPr>
      <t xml:space="preserve">KPI</t>
    </r>
    <r>
      <rPr>
        <sz val="10"/>
        <rFont val="WenQuanYi Zen Hei"/>
        <family val="2"/>
      </rPr>
      <t xml:space="preserve">、目標、実績、判定、費用、回収期間の再計算、測定者と時期</t>
    </r>
  </si>
  <si>
    <r>
      <rPr>
        <sz val="10"/>
        <rFont val="Arial"/>
        <family val="0"/>
        <charset val="1"/>
      </rPr>
      <t xml:space="preserve">KPI </t>
    </r>
    <r>
      <rPr>
        <sz val="10"/>
        <rFont val="WenQuanYi Zen Hei"/>
        <family val="2"/>
      </rPr>
      <t xml:space="preserve">ツリーの枝ごとに実績があり、次回測定日が決まっている</t>
    </r>
  </si>
  <si>
    <t xml:space="preserve">プロジェクト終了後に誰も測らない</t>
  </si>
  <si>
    <t xml:space="preserve">効果測定／ベネフィット実現管理</t>
  </si>
  <si>
    <t xml:space="preserve">T93</t>
  </si>
  <si>
    <t xml:space="preserve">振り返りを行う</t>
  </si>
  <si>
    <t xml:space="preserve">良かった・悪かった・次に活かす。個人を責めず、自分の判断ミスも挙げる</t>
  </si>
  <si>
    <t xml:space="preserve">振り返り記録</t>
  </si>
  <si>
    <t xml:space="preserve">良かったこと、悪かったこと、次に活かすこと、変革段階への当てはめ</t>
  </si>
  <si>
    <r>
      <rPr>
        <sz val="10"/>
        <rFont val="WenQuanYi Zen Hei"/>
        <family val="2"/>
      </rPr>
      <t xml:space="preserve">悪かったことに 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自身の判断が含まれている</t>
    </r>
  </si>
  <si>
    <t xml:space="preserve">他者の失敗だけが挙がる</t>
  </si>
  <si>
    <r>
      <rPr>
        <sz val="10"/>
        <rFont val="WenQuanYi Zen Hei"/>
        <family val="2"/>
      </rPr>
      <t xml:space="preserve">レトロスペクティブ／</t>
    </r>
    <r>
      <rPr>
        <sz val="10"/>
        <rFont val="Arial"/>
        <family val="0"/>
        <charset val="1"/>
      </rPr>
      <t xml:space="preserve">Kotter </t>
    </r>
    <r>
      <rPr>
        <sz val="10"/>
        <rFont val="WenQuanYi Zen Hei"/>
        <family val="2"/>
      </rPr>
      <t xml:space="preserve">の八段階</t>
    </r>
  </si>
  <si>
    <t xml:space="preserve">T94</t>
  </si>
  <si>
    <t xml:space="preserve">型と軸を次のプロジェクトへ引き継ぐ</t>
  </si>
  <si>
    <t xml:space="preserve">一からフレームを作らず、軸を先に置いて議論する</t>
  </si>
  <si>
    <t xml:space="preserve">整理軸一覧</t>
  </si>
  <si>
    <t xml:space="preserve">使う軸、使う場面、使い方の注意</t>
  </si>
  <si>
    <r>
      <rPr>
        <sz val="10"/>
        <rFont val="WenQuanYi Zen Hei"/>
        <family val="2"/>
      </rPr>
      <t xml:space="preserve">次の 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が軸の一覧を持って構想を書き始めている</t>
    </r>
  </si>
  <si>
    <t xml:space="preserve">毎回一からフレームを作る</t>
  </si>
  <si>
    <t xml:space="preserve">整理軸（軸の一覧）</t>
  </si>
  <si>
    <t xml:space="preserve">成果物</t>
  </si>
  <si>
    <t xml:space="preserve">主な項目</t>
  </si>
  <si>
    <t xml:space="preserve">作成者</t>
  </si>
  <si>
    <t xml:space="preserve">更新タイミング</t>
  </si>
  <si>
    <t xml:space="preserve">関連手法</t>
  </si>
  <si>
    <t xml:space="preserve">関連タスク数</t>
  </si>
  <si>
    <t xml:space="preserve">経営者の意図と制約を固定する</t>
  </si>
  <si>
    <t xml:space="preserve">目的、改善／改革の別、予算、期限、対象外、判断者</t>
  </si>
  <si>
    <t xml:space="preserve">着手時。前提が変わったとき</t>
  </si>
  <si>
    <t xml:space="preserve">業務改善と業務改革の区別</t>
  </si>
  <si>
    <t xml:space="preserve">調査対象を絞る</t>
  </si>
  <si>
    <t xml:space="preserve">仮説、根拠、確認方法、結果</t>
  </si>
  <si>
    <t xml:space="preserve">調査前。結果判明時</t>
  </si>
  <si>
    <t xml:space="preserve">実態を数字で残す</t>
  </si>
  <si>
    <t xml:space="preserve">部署、作業、件数、時間、手順書との差</t>
  </si>
  <si>
    <t xml:space="preserve">観察の各日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</si>
  <si>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現主義</t>
    </r>
  </si>
  <si>
    <t xml:space="preserve">ミスの発生源を示す</t>
  </si>
  <si>
    <t xml:space="preserve">転記箇所、回数、確認者</t>
  </si>
  <si>
    <r>
      <rPr>
        <sz val="10"/>
        <rFont val="WenQuanYi Zen Hei"/>
        <family val="2"/>
      </rPr>
      <t xml:space="preserve">現状分析。</t>
    </r>
    <r>
      <rPr>
        <sz val="10"/>
        <rFont val="Arial"/>
        <family val="0"/>
        <charset val="1"/>
      </rPr>
      <t xml:space="preserve">To-Be </t>
    </r>
    <r>
      <rPr>
        <sz val="10"/>
        <rFont val="WenQuanYi Zen Hei"/>
        <family val="2"/>
      </rPr>
      <t xml:space="preserve">設計で再利用</t>
    </r>
  </si>
  <si>
    <t xml:space="preserve">待ち時間を示す</t>
  </si>
  <si>
    <t xml:space="preserve">工程、作業時間、待ち時間、比率</t>
  </si>
  <si>
    <t xml:space="preserve">現状分析</t>
  </si>
  <si>
    <t xml:space="preserve">リードタイム分析</t>
  </si>
  <si>
    <t xml:space="preserve">月次・年次業務を拾う</t>
  </si>
  <si>
    <t xml:space="preserve">業務、担当、頻度、時間、帳票</t>
  </si>
  <si>
    <t xml:space="preserve">現状分析。年一回更新</t>
  </si>
  <si>
    <t xml:space="preserve">野良ファイルと隠れ業務を残す</t>
  </si>
  <si>
    <t xml:space="preserve">帳票、保管場所、作成者、影響</t>
  </si>
  <si>
    <t xml:space="preserve">シャドーワーク分析</t>
  </si>
  <si>
    <t xml:space="preserve">差分を数えられる形にする</t>
  </si>
  <si>
    <t xml:space="preserve">レーン、工程、跨ぐ矢印</t>
  </si>
  <si>
    <r>
      <rPr>
        <sz val="10"/>
        <rFont val="WenQuanYi Zen Hei"/>
        <family val="2"/>
      </rPr>
      <t xml:space="preserve">現状分析。</t>
    </r>
    <r>
      <rPr>
        <sz val="10"/>
        <rFont val="Arial"/>
        <family val="0"/>
        <charset val="1"/>
      </rPr>
      <t xml:space="preserve">To-Be </t>
    </r>
    <r>
      <rPr>
        <sz val="10"/>
        <rFont val="WenQuanYi Zen Hei"/>
        <family val="2"/>
      </rPr>
      <t xml:space="preserve">と同一記法</t>
    </r>
  </si>
  <si>
    <t xml:space="preserve">業務フロー図（スイムレーン）</t>
  </si>
  <si>
    <t xml:space="preserve">金額で語る</t>
  </si>
  <si>
    <t xml:space="preserve">担当、件数、時間、年額</t>
  </si>
  <si>
    <t xml:space="preserve">現状分析。効果測定で比較</t>
  </si>
  <si>
    <t xml:space="preserve">業務量調査</t>
  </si>
  <si>
    <t xml:space="preserve">優先順位を決める</t>
  </si>
  <si>
    <t xml:space="preserve">種類、件数、影響</t>
  </si>
  <si>
    <t xml:space="preserve">ピークを要件へ渡す</t>
  </si>
  <si>
    <t xml:space="preserve">種類、時期、倍率</t>
  </si>
  <si>
    <t xml:space="preserve">課題を数字で経営層へ</t>
  </si>
  <si>
    <t xml:space="preserve">工数、事故、転記、リードタイム</t>
  </si>
  <si>
    <t xml:space="preserve">現状分析の末</t>
  </si>
  <si>
    <t xml:space="preserve">経営課題の翻訳</t>
  </si>
  <si>
    <t xml:space="preserve">何を解くかを分ける</t>
  </si>
  <si>
    <t xml:space="preserve">大・中・小論点、決定者</t>
  </si>
  <si>
    <t xml:space="preserve">構想の冒頭</t>
  </si>
  <si>
    <t xml:space="preserve">論点設計</t>
  </si>
  <si>
    <t xml:space="preserve">問題と課題を分ける</t>
  </si>
  <si>
    <t xml:space="preserve">あるべき姿、問題、課題、原因、真因</t>
  </si>
  <si>
    <t xml:space="preserve">課題解決の五階層</t>
  </si>
  <si>
    <t xml:space="preserve">システムで解ける範囲を示す</t>
  </si>
  <si>
    <t xml:space="preserve">四分類、対策主体</t>
  </si>
  <si>
    <t xml:space="preserve">人・プロセス・ルール・システム</t>
  </si>
  <si>
    <t xml:space="preserve">業務の変え方を先に決める</t>
  </si>
  <si>
    <t xml:space="preserve">変更方針、残す・やめる</t>
  </si>
  <si>
    <t xml:space="preserve">構想。要件定義で詳細化</t>
  </si>
  <si>
    <t xml:space="preserve">足す前に減らす</t>
  </si>
  <si>
    <r>
      <rPr>
        <sz val="10"/>
        <rFont val="Arial"/>
        <family val="0"/>
        <charset val="1"/>
      </rPr>
      <t xml:space="preserve">ECRS</t>
    </r>
    <r>
      <rPr>
        <sz val="10"/>
        <rFont val="WenQuanYi Zen Hei"/>
        <family val="2"/>
      </rPr>
      <t xml:space="preserve">、七つのムダ</t>
    </r>
  </si>
  <si>
    <t xml:space="preserve">構想</t>
  </si>
  <si>
    <r>
      <rPr>
        <sz val="10"/>
        <rFont val="Arial"/>
        <family val="0"/>
        <charset val="1"/>
      </rPr>
      <t xml:space="preserve">ECRS</t>
    </r>
    <r>
      <rPr>
        <sz val="10"/>
        <rFont val="WenQuanYi Zen Hei"/>
        <family val="2"/>
      </rPr>
      <t xml:space="preserve">／リーン</t>
    </r>
  </si>
  <si>
    <t xml:space="preserve">止めるための承認</t>
  </si>
  <si>
    <t xml:space="preserve">条件、承認者、通知</t>
  </si>
  <si>
    <t xml:space="preserve">構想。要件定義でルール表へ</t>
  </si>
  <si>
    <t xml:space="preserve">制約理論／承認設計</t>
  </si>
  <si>
    <t xml:space="preserve">自動化対象を決める</t>
  </si>
  <si>
    <t xml:space="preserve">判断・処理・例外、扱い</t>
  </si>
  <si>
    <t xml:space="preserve">業務の三分類</t>
  </si>
  <si>
    <t xml:space="preserve">未検証の前提を可視化</t>
  </si>
  <si>
    <t xml:space="preserve">前提、検証状況、代替策</t>
  </si>
  <si>
    <t xml:space="preserve">構想。前提が確認されるたび</t>
  </si>
  <si>
    <t xml:space="preserve">後で止める人を先に見る</t>
  </si>
  <si>
    <t xml:space="preserve">影響、関心、先手</t>
  </si>
  <si>
    <t xml:space="preserve">構想。関係者が増えたとき</t>
  </si>
  <si>
    <t xml:space="preserve">ステークホルダー分析</t>
  </si>
  <si>
    <t xml:space="preserve">起きていないことの表</t>
  </si>
  <si>
    <t xml:space="preserve">リスク、確率、影響、対策、見立て</t>
  </si>
  <si>
    <t xml:space="preserve">構想。毎月見直し。発生時は課題へ</t>
  </si>
  <si>
    <t xml:space="preserve">リスク管理</t>
  </si>
  <si>
    <t xml:space="preserve">先に効かせた手を残す</t>
  </si>
  <si>
    <t xml:space="preserve">施策、効果、除外分</t>
  </si>
  <si>
    <t xml:space="preserve">構想中</t>
  </si>
  <si>
    <t xml:space="preserve">投資対効果</t>
  </si>
  <si>
    <t xml:space="preserve">削減、回避、創出、費用、回収期間</t>
  </si>
  <si>
    <t xml:space="preserve">構想。効果測定で更新</t>
  </si>
  <si>
    <r>
      <rPr>
        <sz val="10"/>
        <rFont val="Arial"/>
        <family val="0"/>
        <charset val="1"/>
      </rPr>
      <t xml:space="preserve">ROI</t>
    </r>
    <r>
      <rPr>
        <sz val="10"/>
        <rFont val="WenQuanYi Zen Hei"/>
        <family val="2"/>
      </rPr>
      <t xml:space="preserve">／回収期間</t>
    </r>
  </si>
  <si>
    <t xml:space="preserve">着手順を決める</t>
  </si>
  <si>
    <t xml:space="preserve">効果、難易度、着手順</t>
  </si>
  <si>
    <t xml:space="preserve">何が効いたかを測る</t>
  </si>
  <si>
    <r>
      <rPr>
        <sz val="10"/>
        <rFont val="Arial"/>
        <family val="0"/>
        <charset val="1"/>
      </rPr>
      <t xml:space="preserve">KGI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KPI</t>
    </r>
    <r>
      <rPr>
        <sz val="10"/>
        <rFont val="WenQuanYi Zen Hei"/>
        <family val="2"/>
      </rPr>
      <t xml:space="preserve">、対応施策、測定者</t>
    </r>
  </si>
  <si>
    <t xml:space="preserve">構想。効果測定で使用</t>
  </si>
  <si>
    <t xml:space="preserve">決定者を空欄にしない</t>
  </si>
  <si>
    <r>
      <rPr>
        <sz val="10"/>
        <rFont val="WenQuanYi Zen Hei"/>
        <family val="2"/>
      </rPr>
      <t xml:space="preserve">体制、</t>
    </r>
    <r>
      <rPr>
        <sz val="10"/>
        <rFont val="Arial"/>
        <family val="0"/>
        <charset val="1"/>
      </rPr>
      <t xml:space="preserve">RACI</t>
    </r>
    <r>
      <rPr>
        <sz val="10"/>
        <rFont val="WenQuanYi Zen Hei"/>
        <family val="2"/>
      </rPr>
      <t xml:space="preserve">、エスカレーション基準</t>
    </r>
  </si>
  <si>
    <t xml:space="preserve">構想。体制変更時</t>
  </si>
  <si>
    <r>
      <rPr>
        <sz val="10"/>
        <rFont val="Arial"/>
        <family val="0"/>
        <charset val="1"/>
      </rPr>
      <t xml:space="preserve">RACI</t>
    </r>
    <r>
      <rPr>
        <sz val="10"/>
        <rFont val="WenQuanYi Zen Hei"/>
        <family val="2"/>
      </rPr>
      <t xml:space="preserve">／プロセスオーナー制</t>
    </r>
  </si>
  <si>
    <t xml:space="preserve">後で断る根拠</t>
  </si>
  <si>
    <t xml:space="preserve">対象外、ゲート、撤退基準</t>
  </si>
  <si>
    <r>
      <rPr>
        <sz val="10"/>
        <rFont val="WenQuanYi Zen Hei"/>
        <family val="2"/>
      </rPr>
      <t xml:space="preserve">構想。変更は </t>
    </r>
    <r>
      <rPr>
        <sz val="10"/>
        <rFont val="Arial"/>
        <family val="0"/>
        <charset val="1"/>
      </rPr>
      <t xml:space="preserve">CR </t>
    </r>
    <r>
      <rPr>
        <sz val="10"/>
        <rFont val="WenQuanYi Zen Hei"/>
        <family val="2"/>
      </rPr>
      <t xml:space="preserve">で</t>
    </r>
  </si>
  <si>
    <t xml:space="preserve">スコープ定義／ステージゲート</t>
  </si>
  <si>
    <t xml:space="preserve">予備費の扱いを決める</t>
  </si>
  <si>
    <t xml:space="preserve">予算、予備費、判断者</t>
  </si>
  <si>
    <t xml:space="preserve">減る人・増える人を見せる</t>
  </si>
  <si>
    <t xml:space="preserve">対象者、消える作業、増える作業</t>
  </si>
  <si>
    <t xml:space="preserve">構想。教育計画の入力</t>
  </si>
  <si>
    <t xml:space="preserve">目的から体制までを一枚に</t>
  </si>
  <si>
    <r>
      <rPr>
        <sz val="10"/>
        <rFont val="WenQuanYi Zen Hei"/>
        <family val="2"/>
      </rPr>
      <t xml:space="preserve">目的、業務の変え方、要求、</t>
    </r>
    <r>
      <rPr>
        <sz val="10"/>
        <rFont val="Arial"/>
        <family val="0"/>
        <charset val="1"/>
      </rPr>
      <t xml:space="preserve">KPI</t>
    </r>
    <r>
      <rPr>
        <sz val="10"/>
        <rFont val="WenQuanYi Zen Hei"/>
        <family val="2"/>
      </rPr>
      <t xml:space="preserve">、体制、予算、対象外、効果、前提、ゲート、</t>
    </r>
    <r>
      <rPr>
        <sz val="10"/>
        <rFont val="Arial"/>
        <family val="0"/>
        <charset val="1"/>
      </rPr>
      <t xml:space="preserve">RACI</t>
    </r>
  </si>
  <si>
    <t xml:space="preserve">構想の末。以後は変更管理</t>
  </si>
  <si>
    <t xml:space="preserve">構想書／空・雨・傘</t>
  </si>
  <si>
    <t xml:space="preserve">異議を出し切った上で承認</t>
  </si>
  <si>
    <t xml:space="preserve">確認記録、指摘対応、承認</t>
  </si>
  <si>
    <t xml:space="preserve">構想の末</t>
  </si>
  <si>
    <t xml:space="preserve">判断の場を作る</t>
  </si>
  <si>
    <t xml:space="preserve">出席者、頻度、判断事項</t>
  </si>
  <si>
    <t xml:space="preserve">発散と収束を分ける</t>
  </si>
  <si>
    <t xml:space="preserve">目的、参加者、成果物、時間割</t>
  </si>
  <si>
    <t xml:space="preserve">各ワークショップ前</t>
  </si>
  <si>
    <t xml:space="preserve">ワークショップ設計</t>
  </si>
  <si>
    <t xml:space="preserve">要望を別管理する</t>
  </si>
  <si>
    <t xml:space="preserve">要望、出所、理由、用事</t>
  </si>
  <si>
    <t xml:space="preserve">要件定義。以後は変更要求の元</t>
  </si>
  <si>
    <t xml:space="preserve">現行踏襲の判定を残す</t>
  </si>
  <si>
    <t xml:space="preserve">要望、理由、判定</t>
  </si>
  <si>
    <t xml:space="preserve">要件定義</t>
  </si>
  <si>
    <t xml:space="preserve">目的で書き、合格条件を先に持つ</t>
  </si>
  <si>
    <t xml:space="preserve">誰が・何のために・何を、受入基準</t>
  </si>
  <si>
    <r>
      <rPr>
        <sz val="10"/>
        <rFont val="WenQuanYi Zen Hei"/>
        <family val="2"/>
      </rPr>
      <t xml:space="preserve">要件定義。</t>
    </r>
    <r>
      <rPr>
        <sz val="10"/>
        <rFont val="Arial"/>
        <family val="0"/>
        <charset val="1"/>
      </rPr>
      <t xml:space="preserve">UAT </t>
    </r>
    <r>
      <rPr>
        <sz val="10"/>
        <rFont val="WenQuanYi Zen Hei"/>
        <family val="2"/>
      </rPr>
      <t xml:space="preserve">で使用</t>
    </r>
  </si>
  <si>
    <t xml:space="preserve">ユースケース／受入基準</t>
  </si>
  <si>
    <t xml:space="preserve">紐づかないものを疑う</t>
  </si>
  <si>
    <t xml:space="preserve">業務要件、機能要件、設計、テスト</t>
  </si>
  <si>
    <t xml:space="preserve">要件定義。設計・テストで列追加</t>
  </si>
  <si>
    <t xml:space="preserve">困るものだけ数字で</t>
  </si>
  <si>
    <t xml:space="preserve">可用性、性能、運用、移行、セキュリティ</t>
  </si>
  <si>
    <t xml:space="preserve">要件定義。性能テストで確認</t>
  </si>
  <si>
    <t xml:space="preserve">非機能要求グレード</t>
  </si>
  <si>
    <t xml:space="preserve">削除権限と更新画面を確かめる</t>
  </si>
  <si>
    <r>
      <rPr>
        <sz val="10"/>
        <rFont val="WenQuanYi Zen Hei"/>
        <family val="2"/>
      </rPr>
      <t xml:space="preserve">データ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画面、役割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機能</t>
    </r>
  </si>
  <si>
    <t xml:space="preserve">要件定義。設計で権限設計へ</t>
  </si>
  <si>
    <t xml:space="preserve">未決事項を見せる</t>
  </si>
  <si>
    <r>
      <rPr>
        <sz val="10"/>
        <rFont val="WenQuanYi Zen Hei"/>
        <family val="2"/>
      </rPr>
      <t xml:space="preserve">条件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結果、空欄</t>
    </r>
  </si>
  <si>
    <t xml:space="preserve">要件定義。設計レビューで埋める</t>
  </si>
  <si>
    <t xml:space="preserve">機能以外の要件を落とさない</t>
  </si>
  <si>
    <t xml:space="preserve">帳票、移行、運用、教育</t>
  </si>
  <si>
    <t xml:space="preserve">遅延の理由を残す</t>
  </si>
  <si>
    <t xml:space="preserve">日付、内容、指摘者、理由、影響</t>
  </si>
  <si>
    <t xml:space="preserve">要件が増えるたび</t>
  </si>
  <si>
    <t xml:space="preserve">落とす順番</t>
  </si>
  <si>
    <r>
      <rPr>
        <sz val="10"/>
        <rFont val="Arial"/>
        <family val="0"/>
        <charset val="1"/>
      </rPr>
      <t xml:space="preserve">MoSCoW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Must </t>
    </r>
    <r>
      <rPr>
        <sz val="10"/>
        <rFont val="WenQuanYi Zen Hei"/>
        <family val="2"/>
      </rPr>
      <t xml:space="preserve">比率</t>
    </r>
  </si>
  <si>
    <t xml:space="preserve">要件定義の末</t>
  </si>
  <si>
    <t xml:space="preserve">合意した版を固定する</t>
  </si>
  <si>
    <t xml:space="preserve">全章、優先度、ルール表、受入基準、署名</t>
  </si>
  <si>
    <r>
      <rPr>
        <sz val="10"/>
        <rFont val="WenQuanYi Zen Hei"/>
        <family val="2"/>
      </rPr>
      <t xml:space="preserve">要件定義の末。以後は </t>
    </r>
    <r>
      <rPr>
        <sz val="10"/>
        <rFont val="Arial"/>
        <family val="0"/>
        <charset val="1"/>
      </rPr>
      <t xml:space="preserve">CR </t>
    </r>
    <r>
      <rPr>
        <sz val="10"/>
        <rFont val="WenQuanYi Zen Hei"/>
        <family val="2"/>
      </rPr>
      <t xml:space="preserve">で改版</t>
    </r>
  </si>
  <si>
    <t xml:space="preserve">作る／買う／借りるを決める</t>
  </si>
  <si>
    <t xml:space="preserve">費用、期間、自由度、保守</t>
  </si>
  <si>
    <t xml:space="preserve">選定の冒頭</t>
  </si>
  <si>
    <t xml:space="preserve">方式比較</t>
  </si>
  <si>
    <t xml:space="preserve">候補を絞る</t>
  </si>
  <si>
    <t xml:space="preserve">対応可否</t>
  </si>
  <si>
    <t xml:space="preserve">RFI</t>
  </si>
  <si>
    <t xml:space="preserve">基準と重みを先に示す</t>
  </si>
  <si>
    <t xml:space="preserve">背景、要件、評価基準、日程、デモ台本、見積書式</t>
  </si>
  <si>
    <r>
      <rPr>
        <sz val="10"/>
        <rFont val="Arial"/>
        <family val="0"/>
        <charset val="1"/>
      </rPr>
      <t xml:space="preserve">RFI </t>
    </r>
    <r>
      <rPr>
        <sz val="10"/>
        <rFont val="WenQuanYi Zen Hei"/>
        <family val="2"/>
      </rPr>
      <t xml:space="preserve">の後</t>
    </r>
  </si>
  <si>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率で判断</t>
    </r>
  </si>
  <si>
    <r>
      <rPr>
        <sz val="10"/>
        <rFont val="WenQuanYi Zen Hei"/>
        <family val="2"/>
      </rPr>
      <t xml:space="preserve">要件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各社、</t>
    </r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種別、</t>
    </r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率</t>
    </r>
  </si>
  <si>
    <t xml:space="preserve">提案書受領後</t>
  </si>
  <si>
    <t xml:space="preserve">同じ台本で比べる</t>
  </si>
  <si>
    <t xml:space="preserve">台本項目ごとの評価</t>
  </si>
  <si>
    <t xml:space="preserve">デモ当日</t>
  </si>
  <si>
    <t xml:space="preserve">重みで採点</t>
  </si>
  <si>
    <t xml:space="preserve">項目、重み、点数、合計</t>
  </si>
  <si>
    <t xml:space="preserve">デモ後</t>
  </si>
  <si>
    <t xml:space="preserve">契約前に試す</t>
  </si>
  <si>
    <t xml:space="preserve">試行項目、結果、現場所感</t>
  </si>
  <si>
    <t xml:space="preserve">決定前</t>
  </si>
  <si>
    <t xml:space="preserve">導入先の警告を残す</t>
  </si>
  <si>
    <t xml:space="preserve">苦労した点、自社への当てはめ</t>
  </si>
  <si>
    <t xml:space="preserve">総額と手作業で比べる</t>
  </si>
  <si>
    <t xml:space="preserve">初期、運用、保守、手作業</t>
  </si>
  <si>
    <t xml:space="preserve">超過の理由を残す</t>
  </si>
  <si>
    <t xml:space="preserve">候補、点数、超過額、理由</t>
  </si>
  <si>
    <t xml:space="preserve">決定時</t>
  </si>
  <si>
    <t xml:space="preserve">ステージゲート</t>
  </si>
  <si>
    <t xml:space="preserve">契約を分けて結ぶ</t>
  </si>
  <si>
    <t xml:space="preserve">利用、導入支援、保守、期間</t>
  </si>
  <si>
    <t xml:space="preserve">契約時</t>
  </si>
  <si>
    <t xml:space="preserve">境目と出口を書く</t>
  </si>
  <si>
    <r>
      <rPr>
        <sz val="10"/>
        <rFont val="WenQuanYi Zen Hei"/>
        <family val="2"/>
      </rPr>
      <t xml:space="preserve">責任分界、出口条項、</t>
    </r>
    <r>
      <rPr>
        <sz val="10"/>
        <rFont val="Arial"/>
        <family val="0"/>
        <charset val="1"/>
      </rPr>
      <t xml:space="preserve">SLA</t>
    </r>
    <r>
      <rPr>
        <sz val="10"/>
        <rFont val="WenQuanYi Zen Hei"/>
        <family val="2"/>
      </rPr>
      <t xml:space="preserve">、内訳</t>
    </r>
  </si>
  <si>
    <r>
      <rPr>
        <sz val="10"/>
        <rFont val="WenQuanYi Zen Hei"/>
        <family val="2"/>
      </rPr>
      <t xml:space="preserve">責任分界点／出口条項／</t>
    </r>
    <r>
      <rPr>
        <sz val="10"/>
        <rFont val="Arial"/>
        <family val="0"/>
        <charset val="1"/>
      </rPr>
      <t xml:space="preserve">SLA</t>
    </r>
  </si>
  <si>
    <t xml:space="preserve">紙で合意する</t>
  </si>
  <si>
    <r>
      <rPr>
        <sz val="10"/>
        <rFont val="WenQuanYi Zen Hei"/>
        <family val="2"/>
      </rPr>
      <t xml:space="preserve">業務フロー、画面、帳票、</t>
    </r>
    <r>
      <rPr>
        <sz val="10"/>
        <rFont val="Arial"/>
        <family val="0"/>
        <charset val="1"/>
      </rPr>
      <t xml:space="preserve">IF</t>
    </r>
    <r>
      <rPr>
        <sz val="10"/>
        <rFont val="WenQuanYi Zen Hei"/>
        <family val="2"/>
      </rPr>
      <t xml:space="preserve">、データ、権限</t>
    </r>
  </si>
  <si>
    <t xml:space="preserve">設計中</t>
  </si>
  <si>
    <t xml:space="preserve">基本設計</t>
  </si>
  <si>
    <t xml:space="preserve">異常時の動作を決める</t>
  </si>
  <si>
    <t xml:space="preserve">異常系、再送、受信側の重複排除、境界</t>
  </si>
  <si>
    <t xml:space="preserve">整合と証跡を確保</t>
  </si>
  <si>
    <t xml:space="preserve">更新単位、監査ログ、権限</t>
  </si>
  <si>
    <t xml:space="preserve">トランザクション整合性／監査ログ</t>
  </si>
  <si>
    <t xml:space="preserve">未決事項を決める</t>
  </si>
  <si>
    <t xml:space="preserve">指摘、決定、決定者、日付</t>
  </si>
  <si>
    <t xml:space="preserve">レビューのたび</t>
  </si>
  <si>
    <t xml:space="preserve">設計レビュー</t>
  </si>
  <si>
    <t xml:space="preserve">本物の一部で確かめる</t>
  </si>
  <si>
    <t xml:space="preserve">画面、確認者、指摘</t>
  </si>
  <si>
    <t xml:space="preserve">設定前</t>
  </si>
  <si>
    <t xml:space="preserve">プロトタイピング</t>
  </si>
  <si>
    <t xml:space="preserve">版を付けて承認</t>
  </si>
  <si>
    <t xml:space="preserve">版、承認日、承認者</t>
  </si>
  <si>
    <t xml:space="preserve">設計の末。以後は改版</t>
  </si>
  <si>
    <t xml:space="preserve">構成管理</t>
  </si>
  <si>
    <t xml:space="preserve">作業名で進捗を追う</t>
  </si>
  <si>
    <t xml:space="preserve">作業、担当、予定、クリティカルパス、節目</t>
  </si>
  <si>
    <t xml:space="preserve">週次</t>
  </si>
  <si>
    <r>
      <rPr>
        <sz val="10"/>
        <rFont val="Arial"/>
        <family val="0"/>
        <charset val="1"/>
      </rPr>
      <t xml:space="preserve">WBS</t>
    </r>
    <r>
      <rPr>
        <sz val="10"/>
        <rFont val="WenQuanYi Zen Hei"/>
        <family val="2"/>
      </rPr>
      <t xml:space="preserve">／クリティカルパス</t>
    </r>
  </si>
  <si>
    <t xml:space="preserve">三点で見積もる</t>
  </si>
  <si>
    <t xml:space="preserve">楽観、最頻、悲観、採用値</t>
  </si>
  <si>
    <t xml:space="preserve">計画時</t>
  </si>
  <si>
    <t xml:space="preserve">三点見積</t>
  </si>
  <si>
    <t xml:space="preserve">残作業を名称で</t>
  </si>
  <si>
    <t xml:space="preserve">残作業、障害、対応</t>
  </si>
  <si>
    <t xml:space="preserve">発生済みと未発生を分ける</t>
  </si>
  <si>
    <t xml:space="preserve">課題、リスク</t>
  </si>
  <si>
    <t xml:space="preserve">誰に・いつ・何を</t>
  </si>
  <si>
    <t xml:space="preserve">頻度、相手、手段、内容</t>
  </si>
  <si>
    <t xml:space="preserve">開発開始時</t>
  </si>
  <si>
    <t xml:space="preserve">影響を見て決める</t>
  </si>
  <si>
    <t xml:space="preserve">内容、理由、影響、判断</t>
  </si>
  <si>
    <t xml:space="preserve">変更のたび</t>
  </si>
  <si>
    <t xml:space="preserve">変更管理</t>
  </si>
  <si>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が除去した障害を残す</t>
    </r>
  </si>
  <si>
    <t xml:space="preserve">障害、対応、結果</t>
  </si>
  <si>
    <t xml:space="preserve">発生時</t>
  </si>
  <si>
    <t xml:space="preserve">障害除去</t>
  </si>
  <si>
    <t xml:space="preserve">反復の履歴</t>
  </si>
  <si>
    <t xml:space="preserve">反復ごと</t>
  </si>
  <si>
    <t xml:space="preserve">ハイブリッド開発</t>
  </si>
  <si>
    <t xml:space="preserve">一枚で観点から合格基準まで</t>
  </si>
  <si>
    <t xml:space="preserve">観点、範囲、環境、データ、体制、基準</t>
  </si>
  <si>
    <t xml:space="preserve">結合テスト前</t>
  </si>
  <si>
    <t xml:space="preserve">業務を一巡させる</t>
  </si>
  <si>
    <t xml:space="preserve">手順、確認点、異常系、境界値</t>
  </si>
  <si>
    <t xml:space="preserve">結合テスト前。回帰で再利用</t>
  </si>
  <si>
    <t xml:space="preserve">シナリオテスト</t>
  </si>
  <si>
    <t xml:space="preserve">原因と対策を残す</t>
  </si>
  <si>
    <r>
      <rPr>
        <sz val="10"/>
        <rFont val="Arial"/>
        <family val="0"/>
        <charset val="1"/>
      </rPr>
      <t xml:space="preserve">ID</t>
    </r>
    <r>
      <rPr>
        <sz val="10"/>
        <rFont val="WenQuanYi Zen Hei"/>
        <family val="2"/>
      </rPr>
      <t xml:space="preserve">、内容、原因、対策、担当、状態</t>
    </r>
  </si>
  <si>
    <t xml:space="preserve">テスト中</t>
  </si>
  <si>
    <t xml:space="preserve">全シナリオ再実行の証跡</t>
  </si>
  <si>
    <t xml:space="preserve">修正、再実行、新規不具合</t>
  </si>
  <si>
    <t xml:space="preserve">修正のたび</t>
  </si>
  <si>
    <t xml:space="preserve">ピークで確かめる</t>
  </si>
  <si>
    <t xml:space="preserve">件数、応答時間</t>
  </si>
  <si>
    <t xml:space="preserve">結合テスト後</t>
  </si>
  <si>
    <t xml:space="preserve">業務オーナーが署名する</t>
  </si>
  <si>
    <t xml:space="preserve">基準、結果、回避策、署名</t>
  </si>
  <si>
    <r>
      <rPr>
        <sz val="10"/>
        <rFont val="Arial"/>
        <family val="0"/>
        <charset val="1"/>
      </rPr>
      <t xml:space="preserve">UAT </t>
    </r>
    <r>
      <rPr>
        <sz val="10"/>
        <rFont val="WenQuanYi Zen Hei"/>
        <family val="2"/>
      </rPr>
      <t xml:space="preserve">の末</t>
    </r>
  </si>
  <si>
    <t xml:space="preserve">UAT</t>
  </si>
  <si>
    <t xml:space="preserve">方式と戻し方</t>
  </si>
  <si>
    <t xml:space="preserve">方式、日程、ロールバック基準</t>
  </si>
  <si>
    <r>
      <rPr>
        <sz val="10"/>
        <rFont val="Arial"/>
        <family val="0"/>
        <charset val="1"/>
      </rPr>
      <t xml:space="preserve">UAT </t>
    </r>
    <r>
      <rPr>
        <sz val="10"/>
        <rFont val="WenQuanYi Zen Hei"/>
        <family val="2"/>
      </rPr>
      <t xml:space="preserve">後</t>
    </r>
  </si>
  <si>
    <t xml:space="preserve">移行方式／ロールバック計画</t>
  </si>
  <si>
    <t xml:space="preserve">停止中と混在期間の手順</t>
  </si>
  <si>
    <t xml:space="preserve">時刻、取引の扱い、混在手順</t>
  </si>
  <si>
    <t xml:space="preserve">切替前</t>
  </si>
  <si>
    <t xml:space="preserve">業務凍結／暫定業務</t>
  </si>
  <si>
    <t xml:space="preserve">分単位と四役</t>
  </si>
  <si>
    <t xml:space="preserve">時刻、担当、作業、照合、判定、四役</t>
  </si>
  <si>
    <t xml:space="preserve">切替手順書／当日体制</t>
  </si>
  <si>
    <t xml:space="preserve">二回試して照合する</t>
  </si>
  <si>
    <t xml:space="preserve">対象、変換ルール、エラー、照合</t>
  </si>
  <si>
    <t xml:space="preserve">リハーサル二回</t>
  </si>
  <si>
    <t xml:space="preserve">データ移行</t>
  </si>
  <si>
    <t xml:space="preserve">何が変わらないかを先に</t>
  </si>
  <si>
    <t xml:space="preserve">相手、内容、時期、返信</t>
  </si>
  <si>
    <r>
      <rPr>
        <sz val="10"/>
        <rFont val="WenQuanYi Zen Hei"/>
        <family val="2"/>
      </rPr>
      <t xml:space="preserve">複数回の教育と </t>
    </r>
    <r>
      <rPr>
        <sz val="10"/>
        <rFont val="Arial"/>
        <family val="0"/>
        <charset val="1"/>
      </rPr>
      <t xml:space="preserve">FAQ</t>
    </r>
  </si>
  <si>
    <r>
      <rPr>
        <sz val="10"/>
        <rFont val="WenQuanYi Zen Hei"/>
        <family val="2"/>
      </rPr>
      <t xml:space="preserve">回数、日程、受講記録、マニュアル、</t>
    </r>
    <r>
      <rPr>
        <sz val="10"/>
        <rFont val="Arial"/>
        <family val="0"/>
        <charset val="1"/>
      </rPr>
      <t xml:space="preserve">FAQ</t>
    </r>
  </si>
  <si>
    <r>
      <rPr>
        <sz val="10"/>
        <rFont val="WenQuanYi Zen Hei"/>
        <family val="2"/>
      </rPr>
      <t xml:space="preserve">切替前。定着期に </t>
    </r>
    <r>
      <rPr>
        <sz val="10"/>
        <rFont val="Arial"/>
        <family val="0"/>
        <charset val="1"/>
      </rPr>
      <t xml:space="preserve">FAQ </t>
    </r>
    <r>
      <rPr>
        <sz val="10"/>
        <rFont val="WenQuanYi Zen Hei"/>
        <family val="2"/>
      </rPr>
      <t xml:space="preserve">更新</t>
    </r>
  </si>
  <si>
    <t xml:space="preserve">教育計画</t>
  </si>
  <si>
    <t xml:space="preserve">表で判定し承認を残す</t>
  </si>
  <si>
    <t xml:space="preserve">項目、基準、実績、判定、承認</t>
  </si>
  <si>
    <t xml:space="preserve">切替直前</t>
  </si>
  <si>
    <t xml:space="preserve">発生事象と回避策を残す</t>
  </si>
  <si>
    <t xml:space="preserve">時刻、事象、回避策、ロールバック、旧手段停止</t>
  </si>
  <si>
    <t xml:space="preserve">切替当日と各単位の切替日</t>
  </si>
  <si>
    <t xml:space="preserve">本番切替</t>
  </si>
  <si>
    <t xml:space="preserve">四類型で分ける</t>
  </si>
  <si>
    <t xml:space="preserve">日付、内容、分類、対応</t>
  </si>
  <si>
    <t xml:space="preserve">定着期</t>
  </si>
  <si>
    <t xml:space="preserve">抵抗の四類型</t>
  </si>
  <si>
    <t xml:space="preserve">先に覚えた人を置く</t>
  </si>
  <si>
    <t xml:space="preserve">部署、キーユーザー、役割</t>
  </si>
  <si>
    <t xml:space="preserve">切替後</t>
  </si>
  <si>
    <t xml:space="preserve">キーユーザー制</t>
  </si>
  <si>
    <t xml:space="preserve">同じ質問を減らす</t>
  </si>
  <si>
    <t xml:space="preserve">旧手段の残存を数える</t>
  </si>
  <si>
    <t xml:space="preserve">旧手段の使用回数、利用率、問い合わせ</t>
  </si>
  <si>
    <t xml:space="preserve">週次（切替後一〜二か月）</t>
  </si>
  <si>
    <t xml:space="preserve">短期成果を経営者が伝える</t>
  </si>
  <si>
    <t xml:space="preserve">日付、発言、指標</t>
  </si>
  <si>
    <t xml:space="preserve">切替後短期</t>
  </si>
  <si>
    <t xml:space="preserve">短期成果の見える化</t>
  </si>
  <si>
    <t xml:space="preserve">終了後の担当を残す</t>
  </si>
  <si>
    <t xml:space="preserve">窓口、マスタ、不具合、変更、版上げ、監視、棚卸し、暫定対応の撤去、効果測定</t>
  </si>
  <si>
    <t xml:space="preserve">切替後一か月。年次見直し</t>
  </si>
  <si>
    <t xml:space="preserve">運用設計／技術的負債管理</t>
  </si>
  <si>
    <r>
      <rPr>
        <sz val="10"/>
        <rFont val="WenQuanYi Zen Hei"/>
        <family val="2"/>
      </rPr>
      <t xml:space="preserve">構想書の </t>
    </r>
    <r>
      <rPr>
        <sz val="10"/>
        <rFont val="Arial"/>
        <family val="0"/>
        <charset val="1"/>
      </rPr>
      <t xml:space="preserve">KPI </t>
    </r>
    <r>
      <rPr>
        <sz val="10"/>
        <rFont val="WenQuanYi Zen Hei"/>
        <family val="2"/>
      </rPr>
      <t xml:space="preserve">に答える</t>
    </r>
  </si>
  <si>
    <r>
      <rPr>
        <sz val="10"/>
        <rFont val="Arial"/>
        <family val="0"/>
        <charset val="1"/>
      </rPr>
      <t xml:space="preserve">KPI</t>
    </r>
    <r>
      <rPr>
        <sz val="10"/>
        <rFont val="WenQuanYi Zen Hei"/>
        <family val="2"/>
      </rPr>
      <t xml:space="preserve">、目標、実績、費用、回収期間</t>
    </r>
  </si>
  <si>
    <t xml:space="preserve">月次（半年）</t>
  </si>
  <si>
    <t xml:space="preserve">次への引き継ぎ</t>
  </si>
  <si>
    <t xml:space="preserve">良かった、悪かった、次、変革段階</t>
  </si>
  <si>
    <t xml:space="preserve">効果測定後</t>
  </si>
  <si>
    <t xml:space="preserve">レトロスペクティブ</t>
  </si>
  <si>
    <t xml:space="preserve">型を一から作らない</t>
  </si>
  <si>
    <t xml:space="preserve">軸、使う場面、注意</t>
  </si>
  <si>
    <t xml:space="preserve">プロジェクトの末</t>
  </si>
  <si>
    <t xml:space="preserve">整理軸</t>
  </si>
  <si>
    <t xml:space="preserve">注：関連タスク数は「タスク一覧」の「主な成果物」列と成果物名が完全一致した行を数える数式。</t>
  </si>
  <si>
    <t xml:space="preserve">手法・フレームワーク</t>
  </si>
  <si>
    <t xml:space="preserve">分類</t>
  </si>
  <si>
    <t xml:space="preserve">概要</t>
  </si>
  <si>
    <t xml:space="preserve">使う場面</t>
  </si>
  <si>
    <t xml:space="preserve">使うときの要点</t>
  </si>
  <si>
    <r>
      <rPr>
        <sz val="10"/>
        <rFont val="WenQuanYi Zen Hei"/>
        <family val="2"/>
      </rPr>
      <t xml:space="preserve">業務改善と業務改革（</t>
    </r>
    <r>
      <rPr>
        <sz val="10"/>
        <rFont val="Arial"/>
        <family val="0"/>
        <charset val="1"/>
      </rPr>
      <t xml:space="preserve">Kaizen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BPR</t>
    </r>
    <r>
      <rPr>
        <sz val="10"/>
        <rFont val="WenQuanYi Zen Hei"/>
        <family val="2"/>
      </rPr>
      <t xml:space="preserve">）</t>
    </r>
  </si>
  <si>
    <t xml:space="preserve">考え方</t>
  </si>
  <si>
    <t xml:space="preserve">現行の流れを速くするのが改善、流れ自体を作り直すのが改革</t>
  </si>
  <si>
    <t xml:space="preserve">着手時</t>
  </si>
  <si>
    <t xml:space="preserve">経営者と推進側でどちらの話かを最初に揃える</t>
  </si>
  <si>
    <t xml:space="preserve">現場・現物・現実を自分で見る</t>
  </si>
  <si>
    <t xml:space="preserve">手順書を写さない。手順書に無い動きが本命</t>
  </si>
  <si>
    <t xml:space="preserve">調べる前に答えの当たりを置く</t>
  </si>
  <si>
    <t xml:space="preserve">外れた仮説も記録する</t>
  </si>
  <si>
    <t xml:space="preserve">データフロー分析（転記マップ）</t>
  </si>
  <si>
    <t xml:space="preserve">情報が人の手で写される箇所と回数を数える</t>
  </si>
  <si>
    <t xml:space="preserve">転記箇所がミスの発生源</t>
  </si>
  <si>
    <r>
      <rPr>
        <sz val="10"/>
        <rFont val="WenQuanYi Zen Hei"/>
        <family val="2"/>
      </rPr>
      <t xml:space="preserve">リードタイム分析／</t>
    </r>
    <r>
      <rPr>
        <sz val="10"/>
        <rFont val="Arial"/>
        <family val="0"/>
        <charset val="1"/>
      </rPr>
      <t xml:space="preserve">VSM</t>
    </r>
  </si>
  <si>
    <t xml:space="preserve">工程を作業時間と待ち時間に分解</t>
  </si>
  <si>
    <t xml:space="preserve">短縮対象は待ち時間</t>
  </si>
  <si>
    <t xml:space="preserve">業務を頻度つきで一覧化</t>
  </si>
  <si>
    <t xml:space="preserve">帳票から逆引きして抜けを確かめる</t>
  </si>
  <si>
    <t xml:space="preserve">手順書に無い個人作業・野良ファイルを見つける</t>
  </si>
  <si>
    <t xml:space="preserve">本体工数と分けて記録し、移行と二重管理の対象にする</t>
  </si>
  <si>
    <t xml:space="preserve">部署別レーンで流れを描く</t>
  </si>
  <si>
    <r>
      <rPr>
        <sz val="10"/>
        <rFont val="WenQuanYi Zen Hei"/>
        <family val="2"/>
      </rPr>
      <t xml:space="preserve">現状分析／</t>
    </r>
    <r>
      <rPr>
        <sz val="10"/>
        <rFont val="Arial"/>
        <family val="0"/>
        <charset val="1"/>
      </rPr>
      <t xml:space="preserve">To-Be</t>
    </r>
  </si>
  <si>
    <t xml:space="preserve">レーンを跨ぐ矢印の数が転記と待ちの数</t>
  </si>
  <si>
    <t xml:space="preserve">作業時間を測定し金額換算</t>
  </si>
  <si>
    <t xml:space="preserve">自己申告は少なく出る。発言力による偏りを補正</t>
  </si>
  <si>
    <t xml:space="preserve">多い順に並べ上位に集中</t>
  </si>
  <si>
    <t xml:space="preserve">対策は上から打つ</t>
  </si>
  <si>
    <t xml:space="preserve">月末・期末・繁忙期を別に把握</t>
  </si>
  <si>
    <t xml:space="preserve">現状分析／要件定義</t>
  </si>
  <si>
    <t xml:space="preserve">ピーク倍率を非機能要件へ</t>
  </si>
  <si>
    <t xml:space="preserve">問いを階層化し、業務とシステムの論点を分ける</t>
  </si>
  <si>
    <t xml:space="preserve">網羅より本質。決定者を付ける</t>
  </si>
  <si>
    <t xml:space="preserve">あるべき姿→問題→課題→原因→真因</t>
  </si>
  <si>
    <t xml:space="preserve">問題は差、課題はやること</t>
  </si>
  <si>
    <t xml:space="preserve">原因の在処を四つに分ける</t>
  </si>
  <si>
    <t xml:space="preserve">システムで解けるのは一つ</t>
  </si>
  <si>
    <t xml:space="preserve">空・雨・傘（事実・解釈・行動）</t>
  </si>
  <si>
    <t xml:space="preserve">事実と解釈と行動を分けて書く</t>
  </si>
  <si>
    <t xml:space="preserve">構想／報告</t>
  </si>
  <si>
    <t xml:space="preserve">経営者は事実だけ検証すればよい構造にする</t>
  </si>
  <si>
    <t xml:space="preserve">決めるのは業務オーナー</t>
  </si>
  <si>
    <t xml:space="preserve">ECRS</t>
  </si>
  <si>
    <t xml:space="preserve">排除→結合→入替→簡素化の順で見直す</t>
  </si>
  <si>
    <t xml:space="preserve">リーン（七つのムダ）</t>
  </si>
  <si>
    <t xml:space="preserve">作りすぎ・手待ち・運搬・加工・在庫・動作・不良</t>
  </si>
  <si>
    <t xml:space="preserve">現状分析／構想</t>
  </si>
  <si>
    <t xml:space="preserve">事務業務にも当てはめる</t>
  </si>
  <si>
    <r>
      <rPr>
        <sz val="10"/>
        <rFont val="WenQuanYi Zen Hei"/>
        <family val="2"/>
      </rPr>
      <t xml:space="preserve">制約理論（</t>
    </r>
    <r>
      <rPr>
        <sz val="10"/>
        <rFont val="Arial"/>
        <family val="0"/>
        <charset val="1"/>
      </rPr>
      <t xml:space="preserve">TOC</t>
    </r>
    <r>
      <rPr>
        <sz val="10"/>
        <rFont val="WenQuanYi Zen Hei"/>
        <family val="2"/>
      </rPr>
      <t xml:space="preserve">）</t>
    </r>
  </si>
  <si>
    <t xml:space="preserve">全体速度は最も遅い工程で決まる</t>
  </si>
  <si>
    <t xml:space="preserve">承認者のボトルネック化に注意</t>
  </si>
  <si>
    <t xml:space="preserve">ゼロベース思考</t>
  </si>
  <si>
    <t xml:space="preserve">現行が無いものとして考える</t>
  </si>
  <si>
    <t xml:space="preserve">「なぜこの工程があるか」に答えられない工程は候補</t>
  </si>
  <si>
    <t xml:space="preserve">処理は自動化、判断は人、例外は減らすか型化</t>
  </si>
  <si>
    <t xml:space="preserve">構想／要件定義</t>
  </si>
  <si>
    <t xml:space="preserve">低頻度の例外は手作業でよい</t>
  </si>
  <si>
    <r>
      <rPr>
        <sz val="10"/>
        <rFont val="WenQuanYi Zen Hei"/>
        <family val="2"/>
      </rPr>
      <t xml:space="preserve">構想／</t>
    </r>
    <r>
      <rPr>
        <sz val="10"/>
        <rFont val="Arial"/>
        <family val="0"/>
        <charset val="1"/>
      </rPr>
      <t xml:space="preserve">PM</t>
    </r>
  </si>
  <si>
    <t xml:space="preserve">未検証の前提と代替策を一覧化</t>
  </si>
  <si>
    <t xml:space="preserve">崩れたときの手を横に書く</t>
  </si>
  <si>
    <r>
      <rPr>
        <sz val="10"/>
        <rFont val="WenQuanYi Zen Hei"/>
        <family val="2"/>
      </rPr>
      <t xml:space="preserve">ステークホルダー分析（影響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関心）</t>
    </r>
  </si>
  <si>
    <t xml:space="preserve">構想／定着</t>
  </si>
  <si>
    <t xml:space="preserve">関係者を影響と関心で四象限に</t>
  </si>
  <si>
    <t xml:space="preserve">構想／切替</t>
  </si>
  <si>
    <t xml:space="preserve">影響大・関心低の人が後で止める</t>
  </si>
  <si>
    <r>
      <rPr>
        <sz val="10"/>
        <rFont val="WenQuanYi Zen Hei"/>
        <family val="2"/>
      </rPr>
      <t xml:space="preserve">未発生事象を確率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影響で管理</t>
    </r>
  </si>
  <si>
    <t xml:space="preserve">構想〜運用</t>
  </si>
  <si>
    <t xml:space="preserve">課題管理と分ける。見立ての持ち主を書く</t>
  </si>
  <si>
    <t xml:space="preserve">短期で効く小さな施策を先に</t>
  </si>
  <si>
    <t xml:space="preserve">消えた課題はシステム効果から除く</t>
  </si>
  <si>
    <t xml:space="preserve">効果を削減・回避・創出で分け金額化</t>
  </si>
  <si>
    <t xml:space="preserve">構想／効果測定</t>
  </si>
  <si>
    <t xml:space="preserve">金額化しない効果は明記</t>
  </si>
  <si>
    <t xml:space="preserve">施策を四象限で優先順位付け</t>
  </si>
  <si>
    <t xml:space="preserve">効果大・容易から着手</t>
  </si>
  <si>
    <t xml:space="preserve">最上位指標の下に枝を置く</t>
  </si>
  <si>
    <t xml:space="preserve">枝を施策と一対一に</t>
  </si>
  <si>
    <t xml:space="preserve">RACI</t>
  </si>
  <si>
    <t xml:space="preserve">体制</t>
  </si>
  <si>
    <t xml:space="preserve">実行・責任・相談・報告を表にする</t>
  </si>
  <si>
    <t xml:space="preserve">決定者が空欄の仕事を無くす</t>
  </si>
  <si>
    <t xml:space="preserve">プロセスオーナー制</t>
  </si>
  <si>
    <t xml:space="preserve">業務横断で全体を持つ人を置く</t>
  </si>
  <si>
    <t xml:space="preserve">部門最適を防ぐ</t>
  </si>
  <si>
    <t xml:space="preserve">エスカレーションルール</t>
  </si>
  <si>
    <t xml:space="preserve">止まったときの上げ方を基準化</t>
  </si>
  <si>
    <t xml:space="preserve">日数で決める</t>
  </si>
  <si>
    <t xml:space="preserve">対象と対象外を明記</t>
  </si>
  <si>
    <t xml:space="preserve">ステージゲート／撤退基準</t>
  </si>
  <si>
    <t xml:space="preserve">節目ごとに継続・中止を判断</t>
  </si>
  <si>
    <r>
      <rPr>
        <sz val="10"/>
        <rFont val="WenQuanYi Zen Hei"/>
        <family val="2"/>
      </rPr>
      <t xml:space="preserve">構想〜</t>
    </r>
    <r>
      <rPr>
        <sz val="10"/>
        <rFont val="Arial"/>
        <family val="0"/>
        <charset val="1"/>
      </rPr>
      <t xml:space="preserve">UAT</t>
    </r>
  </si>
  <si>
    <t xml:space="preserve">やめる基準を先に書く</t>
  </si>
  <si>
    <t xml:space="preserve">想定外費用の予備枠</t>
  </si>
  <si>
    <t xml:space="preserve">無いなら判断者を決める</t>
  </si>
  <si>
    <t xml:space="preserve">変革管理</t>
  </si>
  <si>
    <t xml:space="preserve">誰の仕事がどう変わるかを人単位で</t>
  </si>
  <si>
    <t xml:space="preserve">構想／教育</t>
  </si>
  <si>
    <t xml:space="preserve">増える人に先に話す</t>
  </si>
  <si>
    <t xml:space="preserve">対象外を必ず書く</t>
  </si>
  <si>
    <t xml:space="preserve">異議を出し切ってから承認</t>
  </si>
  <si>
    <t xml:space="preserve">月次で判断する場</t>
  </si>
  <si>
    <t xml:space="preserve">判断事項が無い月は開かない</t>
  </si>
  <si>
    <t xml:space="preserve">出す回と絞る回を分ける</t>
  </si>
  <si>
    <t xml:space="preserve">目的・参加者・成果物を事前送付</t>
  </si>
  <si>
    <t xml:space="preserve">要求管理（要望と要件）</t>
  </si>
  <si>
    <t xml:space="preserve">要件＝無いと目的が達成できないもの</t>
  </si>
  <si>
    <t xml:space="preserve">要望は出所・理由付きで別管理</t>
  </si>
  <si>
    <r>
      <rPr>
        <sz val="10"/>
        <rFont val="WenQuanYi Zen Hei"/>
        <family val="2"/>
      </rPr>
      <t xml:space="preserve">ジョブ理論（</t>
    </r>
    <r>
      <rPr>
        <sz val="10"/>
        <rFont val="Arial"/>
        <family val="0"/>
        <charset val="1"/>
      </rPr>
      <t xml:space="preserve">Jobs to be Done</t>
    </r>
    <r>
      <rPr>
        <sz val="10"/>
        <rFont val="WenQuanYi Zen Hei"/>
        <family val="2"/>
      </rPr>
      <t xml:space="preserve">）</t>
    </r>
  </si>
  <si>
    <t xml:space="preserve">要望の裏の用事を聞く</t>
  </si>
  <si>
    <t xml:space="preserve">別の手で満たせることがある</t>
  </si>
  <si>
    <t xml:space="preserve">「今と同じに」の理由を確認</t>
  </si>
  <si>
    <t xml:space="preserve">慣れなら教育、相手の制約なら要件</t>
  </si>
  <si>
    <t xml:space="preserve">ユースケース／ユーザーストーリー</t>
  </si>
  <si>
    <t xml:space="preserve">誰が・何のために・何を</t>
  </si>
  <si>
    <t xml:space="preserve">目的で書く</t>
  </si>
  <si>
    <r>
      <rPr>
        <sz val="10"/>
        <rFont val="WenQuanYi Zen Hei"/>
        <family val="2"/>
      </rPr>
      <t xml:space="preserve">受入基準（</t>
    </r>
    <r>
      <rPr>
        <sz val="10"/>
        <rFont val="Arial"/>
        <family val="0"/>
        <charset val="1"/>
      </rPr>
      <t xml:space="preserve">Given-When-Then</t>
    </r>
    <r>
      <rPr>
        <sz val="10"/>
        <rFont val="WenQuanYi Zen Hei"/>
        <family val="2"/>
      </rPr>
      <t xml:space="preserve">）</t>
    </r>
  </si>
  <si>
    <t xml:space="preserve">前提・操作・期待結果</t>
  </si>
  <si>
    <r>
      <rPr>
        <sz val="10"/>
        <rFont val="WenQuanYi Zen Hei"/>
        <family val="2"/>
      </rPr>
      <t xml:space="preserve">要件定義／</t>
    </r>
    <r>
      <rPr>
        <sz val="10"/>
        <rFont val="Arial"/>
        <family val="0"/>
        <charset val="1"/>
      </rPr>
      <t xml:space="preserve">UAT</t>
    </r>
  </si>
  <si>
    <t xml:space="preserve">要件定義時点で書く</t>
  </si>
  <si>
    <t xml:space="preserve">業務要件／機能要件／非機能要件</t>
  </si>
  <si>
    <t xml:space="preserve">三層で書く</t>
  </si>
  <si>
    <t xml:space="preserve">業務と機能を一対一で紐づける</t>
  </si>
  <si>
    <t xml:space="preserve">要件→設計→テストの対応</t>
  </si>
  <si>
    <t xml:space="preserve">要件定義〜テスト</t>
  </si>
  <si>
    <t xml:space="preserve">紐づかないものは要望か漏れ</t>
  </si>
  <si>
    <t xml:space="preserve">可用性・性能・運用・移行・セキュリティ等の項目表</t>
  </si>
  <si>
    <r>
      <rPr>
        <sz val="10"/>
        <rFont val="Arial"/>
        <family val="0"/>
        <charset val="1"/>
      </rPr>
      <t xml:space="preserve">SMART</t>
    </r>
    <r>
      <rPr>
        <sz val="10"/>
        <rFont val="WenQuanYi Zen Hei"/>
        <family val="2"/>
      </rPr>
      <t xml:space="preserve">（検証可能な要件）</t>
    </r>
  </si>
  <si>
    <t xml:space="preserve">測れる形で書く</t>
  </si>
  <si>
    <t xml:space="preserve">「速く」でなく「三秒以内」</t>
  </si>
  <si>
    <r>
      <rPr>
        <sz val="10"/>
        <rFont val="Arial"/>
        <family val="0"/>
        <charset val="1"/>
      </rPr>
      <t xml:space="preserve">CRUD </t>
    </r>
    <r>
      <rPr>
        <sz val="10"/>
        <rFont val="WenQuanYi Zen Hei"/>
        <family val="2"/>
      </rPr>
      <t xml:space="preserve">図</t>
    </r>
  </si>
  <si>
    <r>
      <rPr>
        <sz val="10"/>
        <rFont val="WenQuanYi Zen Hei"/>
        <family val="2"/>
      </rPr>
      <t xml:space="preserve">データ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画面で作成・参照・更新・削除</t>
    </r>
  </si>
  <si>
    <t xml:space="preserve">更新画面の無いデータを見つける</t>
  </si>
  <si>
    <t xml:space="preserve">権限マトリクス</t>
  </si>
  <si>
    <r>
      <rPr>
        <sz val="10"/>
        <rFont val="WenQuanYi Zen Hei"/>
        <family val="2"/>
      </rPr>
      <t xml:space="preserve">役割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機能</t>
    </r>
  </si>
  <si>
    <t xml:space="preserve">要件定義／設計</t>
  </si>
  <si>
    <r>
      <rPr>
        <sz val="10"/>
        <rFont val="Arial"/>
        <family val="0"/>
        <charset val="1"/>
      </rPr>
      <t xml:space="preserve">ID </t>
    </r>
    <r>
      <rPr>
        <sz val="10"/>
        <rFont val="WenQuanYi Zen Hei"/>
        <family val="2"/>
      </rPr>
      <t xml:space="preserve">グループと一対一</t>
    </r>
  </si>
  <si>
    <r>
      <rPr>
        <sz val="10"/>
        <rFont val="WenQuanYi Zen Hei"/>
        <family val="2"/>
      </rPr>
      <t xml:space="preserve">条件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結果の表</t>
    </r>
  </si>
  <si>
    <t xml:space="preserve">空欄が未決事項</t>
  </si>
  <si>
    <t xml:space="preserve">追加・変更を理由付きで記録</t>
  </si>
  <si>
    <t xml:space="preserve">要件定義〜開発</t>
  </si>
  <si>
    <t xml:space="preserve">遅延理由の説明に使う</t>
  </si>
  <si>
    <r>
      <rPr>
        <sz val="10"/>
        <rFont val="Arial"/>
        <family val="0"/>
        <charset val="1"/>
      </rPr>
      <t xml:space="preserve">Must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Should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Could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Won't</t>
    </r>
  </si>
  <si>
    <r>
      <rPr>
        <sz val="10"/>
        <rFont val="Arial"/>
        <family val="0"/>
        <charset val="1"/>
      </rPr>
      <t xml:space="preserve">Must </t>
    </r>
    <r>
      <rPr>
        <sz val="10"/>
        <rFont val="WenQuanYi Zen Hei"/>
        <family val="2"/>
      </rPr>
      <t xml:space="preserve">は七割以下に</t>
    </r>
  </si>
  <si>
    <t xml:space="preserve">合意した版を固定</t>
  </si>
  <si>
    <t xml:space="preserve">以後は変更管理</t>
  </si>
  <si>
    <t xml:space="preserve">調達</t>
  </si>
  <si>
    <t xml:space="preserve">作る／買う／借りる</t>
  </si>
  <si>
    <t xml:space="preserve">選定</t>
  </si>
  <si>
    <t xml:space="preserve">標準業務なら借りて業務を合わせる</t>
  </si>
  <si>
    <t xml:space="preserve">対応可否の事前確認</t>
  </si>
  <si>
    <t xml:space="preserve">三社程度に絞る</t>
  </si>
  <si>
    <t xml:space="preserve">読む前に重みを決める</t>
  </si>
  <si>
    <t xml:space="preserve">要件を製品機能に当てる</t>
  </si>
  <si>
    <r>
      <rPr>
        <sz val="10"/>
        <rFont val="Arial"/>
        <family val="0"/>
        <charset val="1"/>
      </rPr>
      <t xml:space="preserve">Gap </t>
    </r>
    <r>
      <rPr>
        <sz val="10"/>
        <rFont val="WenQuanYi Zen Hei"/>
        <family val="2"/>
      </rPr>
      <t xml:space="preserve">率の閾値で撤退</t>
    </r>
  </si>
  <si>
    <t xml:space="preserve">共通台本と実データでデモ</t>
  </si>
  <si>
    <t xml:space="preserve">得意画面は見ない</t>
  </si>
  <si>
    <t xml:space="preserve">現場担当者を入れる</t>
  </si>
  <si>
    <t xml:space="preserve">導入先に苦労した点を聞く</t>
  </si>
  <si>
    <t xml:space="preserve">警告を見立てで打ち消さない</t>
  </si>
  <si>
    <t xml:space="preserve">総保有コストで比較</t>
  </si>
  <si>
    <t xml:space="preserve">自社側の手作業を加算</t>
  </si>
  <si>
    <t xml:space="preserve">準委任／請負</t>
  </si>
  <si>
    <t xml:space="preserve">契約</t>
  </si>
  <si>
    <t xml:space="preserve">時間で払うか成果で払うか</t>
  </si>
  <si>
    <t xml:space="preserve">融通と保証のトレードオフ</t>
  </si>
  <si>
    <t xml:space="preserve">多段階契約</t>
  </si>
  <si>
    <t xml:space="preserve">導入支援と保守を分ける</t>
  </si>
  <si>
    <t xml:space="preserve">固まっていない段階で長期を約束しない</t>
  </si>
  <si>
    <t xml:space="preserve">責任分界点</t>
  </si>
  <si>
    <t xml:space="preserve">責任の境目を表にする</t>
  </si>
  <si>
    <t xml:space="preserve">境目の不具合は両者同席</t>
  </si>
  <si>
    <t xml:space="preserve">出口条項／データの帰属</t>
  </si>
  <si>
    <t xml:space="preserve">解約時のデータ持ち出しと成果物の帰属</t>
  </si>
  <si>
    <t xml:space="preserve">全件・期限・形式を明記</t>
  </si>
  <si>
    <t xml:space="preserve">SLA</t>
  </si>
  <si>
    <t xml:space="preserve">稼働率・応答・障害対応の約束</t>
  </si>
  <si>
    <t xml:space="preserve">契約／運用</t>
  </si>
  <si>
    <t xml:space="preserve">停止時の運用手順を自社で持つ</t>
  </si>
  <si>
    <t xml:space="preserve">ベンダーロックイン対策</t>
  </si>
  <si>
    <t xml:space="preserve">乗り換え不能を避ける</t>
  </si>
  <si>
    <t xml:space="preserve">標準形式・標準連携を選ぶ</t>
  </si>
  <si>
    <t xml:space="preserve">設計</t>
  </si>
  <si>
    <t xml:space="preserve">利用側が承認する設計</t>
  </si>
  <si>
    <t xml:space="preserve">設定前に紙で合意</t>
  </si>
  <si>
    <t xml:space="preserve">異常系設計</t>
  </si>
  <si>
    <t xml:space="preserve">失敗・中断・重複時の振る舞い</t>
  </si>
  <si>
    <t xml:space="preserve">設計書の価値は異常時にある</t>
  </si>
  <si>
    <t xml:space="preserve">冪等性</t>
  </si>
  <si>
    <t xml:space="preserve">同じ要求が二回来ても結果が一回分</t>
  </si>
  <si>
    <t xml:space="preserve">受信側の重複排除条件を確認</t>
  </si>
  <si>
    <t xml:space="preserve">トランザクション整合性</t>
  </si>
  <si>
    <t xml:space="preserve">途中失敗時に全て戻す</t>
  </si>
  <si>
    <t xml:space="preserve">半分だけ残さない</t>
  </si>
  <si>
    <t xml:space="preserve">監査ログ</t>
  </si>
  <si>
    <t xml:space="preserve">誰がいつ何をしたかを残す</t>
  </si>
  <si>
    <t xml:space="preserve">承認の証跡にもなる</t>
  </si>
  <si>
    <t xml:space="preserve">未決事項を見つけ決定者を記録</t>
  </si>
  <si>
    <t xml:space="preserve">現場を知る人が出る</t>
  </si>
  <si>
    <t xml:space="preserve">本物の一部を先に触らせる</t>
  </si>
  <si>
    <t xml:space="preserve">借りる場合は紙の絵を描かない</t>
  </si>
  <si>
    <t xml:space="preserve">設計／開発</t>
  </si>
  <si>
    <t xml:space="preserve">設計書・設定値に版を付ける</t>
  </si>
  <si>
    <t xml:space="preserve">設計〜運用</t>
  </si>
  <si>
    <t xml:space="preserve">変更の起点を明確に</t>
  </si>
  <si>
    <t xml:space="preserve">作業を分解した一覧</t>
  </si>
  <si>
    <t xml:space="preserve">開発</t>
  </si>
  <si>
    <t xml:space="preserve">作業名で進捗を聞く</t>
  </si>
  <si>
    <t xml:space="preserve">クリティカルパス</t>
  </si>
  <si>
    <t xml:space="preserve">遅れが期限に直結する作業列</t>
  </si>
  <si>
    <t xml:space="preserve">予備はここに置く</t>
  </si>
  <si>
    <t xml:space="preserve">マイルストーン</t>
  </si>
  <si>
    <t xml:space="preserve">節目と通過条件</t>
  </si>
  <si>
    <t xml:space="preserve">日付だけの節目にしない</t>
  </si>
  <si>
    <t xml:space="preserve">楽観・最頻・悲観</t>
  </si>
  <si>
    <t xml:space="preserve">計画には悲観値</t>
  </si>
  <si>
    <r>
      <rPr>
        <sz val="10"/>
        <rFont val="WenQuanYi Zen Hei"/>
        <family val="2"/>
      </rPr>
      <t xml:space="preserve">バッファ管理（</t>
    </r>
    <r>
      <rPr>
        <sz val="10"/>
        <rFont val="Arial"/>
        <family val="0"/>
        <charset val="1"/>
      </rPr>
      <t xml:space="preserve">CCPM</t>
    </r>
    <r>
      <rPr>
        <sz val="10"/>
        <rFont val="WenQuanYi Zen Hei"/>
        <family val="2"/>
      </rPr>
      <t xml:space="preserve">）</t>
    </r>
  </si>
  <si>
    <t xml:space="preserve">予備を全体で持つ</t>
  </si>
  <si>
    <t xml:space="preserve">学生症候群を防ぐ</t>
  </si>
  <si>
    <t xml:space="preserve">残作業の名称で聞く</t>
  </si>
  <si>
    <t xml:space="preserve">割合で聞かない</t>
  </si>
  <si>
    <t xml:space="preserve">発生したら移す</t>
  </si>
  <si>
    <t xml:space="preserve">開発〜定着</t>
  </si>
  <si>
    <t xml:space="preserve">現場への定期連絡を含める</t>
  </si>
  <si>
    <t xml:space="preserve">影響を見て決める場で決める</t>
  </si>
  <si>
    <t xml:space="preserve">直接依頼を禁じる</t>
  </si>
  <si>
    <r>
      <rPr>
        <sz val="10"/>
        <rFont val="WenQuanYi Zen Hei"/>
        <family val="2"/>
      </rPr>
      <t xml:space="preserve">担当が解けない障害を </t>
    </r>
    <r>
      <rPr>
        <sz val="10"/>
        <rFont val="Arial"/>
        <family val="0"/>
        <charset val="1"/>
      </rPr>
      <t xml:space="preserve">PM </t>
    </r>
    <r>
      <rPr>
        <sz val="10"/>
        <rFont val="WenQuanYi Zen Hei"/>
        <family val="2"/>
      </rPr>
      <t xml:space="preserve">が引き取る</t>
    </r>
  </si>
  <si>
    <t xml:space="preserve">進捗会の本来の役割</t>
  </si>
  <si>
    <r>
      <rPr>
        <sz val="10"/>
        <rFont val="WenQuanYi Zen Hei"/>
        <family val="2"/>
      </rPr>
      <t xml:space="preserve">ハイブリッド開発／</t>
    </r>
    <r>
      <rPr>
        <sz val="10"/>
        <rFont val="Arial"/>
        <family val="0"/>
        <charset val="1"/>
      </rPr>
      <t xml:space="preserve">MVP</t>
    </r>
  </si>
  <si>
    <t xml:space="preserve">固定部分は一括、可変部分は反復</t>
  </si>
  <si>
    <t xml:space="preserve">開発／切替</t>
  </si>
  <si>
    <t xml:space="preserve">小さく出して足す</t>
  </si>
  <si>
    <t xml:space="preserve">テスト</t>
  </si>
  <si>
    <t xml:space="preserve">観点・範囲・環境・データ・体制・基準</t>
  </si>
  <si>
    <t xml:space="preserve">一枚で</t>
  </si>
  <si>
    <t xml:space="preserve">機能単位で合格しても通しで落ちる</t>
  </si>
  <si>
    <t xml:space="preserve">異常系テスト</t>
  </si>
  <si>
    <t xml:space="preserve">失敗の流れを試す</t>
  </si>
  <si>
    <t xml:space="preserve">本番で初めて動作を知らない</t>
  </si>
  <si>
    <t xml:space="preserve">境界値テスト</t>
  </si>
  <si>
    <t xml:space="preserve">端の値を試す</t>
  </si>
  <si>
    <t xml:space="preserve">設計書に端を書く</t>
  </si>
  <si>
    <t xml:space="preserve">原因・対策・担当・状態</t>
  </si>
  <si>
    <t xml:space="preserve">集中箇所は設計の問題</t>
  </si>
  <si>
    <t xml:space="preserve">修正のたびに全シナリオ再実行</t>
  </si>
  <si>
    <t xml:space="preserve">修正は隣を壊す</t>
  </si>
  <si>
    <t xml:space="preserve">ピーク条件で確かめる</t>
  </si>
  <si>
    <t xml:space="preserve">月末が来る前に流す</t>
  </si>
  <si>
    <t xml:space="preserve">利用部門が自分の業務として使う</t>
  </si>
  <si>
    <t xml:space="preserve">基準は事前に。汚い実データで</t>
  </si>
  <si>
    <t xml:space="preserve">移行方式（一括・並行・段階）</t>
  </si>
  <si>
    <t xml:space="preserve">移行</t>
  </si>
  <si>
    <t xml:space="preserve">切替方式の三択</t>
  </si>
  <si>
    <t xml:space="preserve">切替</t>
  </si>
  <si>
    <t xml:space="preserve">戻せる形で</t>
  </si>
  <si>
    <t xml:space="preserve">ロールバック計画</t>
  </si>
  <si>
    <t xml:space="preserve">戻す基準・判断者・期限</t>
  </si>
  <si>
    <t xml:space="preserve">時刻で切る</t>
  </si>
  <si>
    <t xml:space="preserve">業務凍結（フリーズ）</t>
  </si>
  <si>
    <t xml:space="preserve">旧業務への入力を止める時間</t>
  </si>
  <si>
    <t xml:space="preserve">凍結中の取引の扱いを書く</t>
  </si>
  <si>
    <t xml:space="preserve">暫定業務（ブリッジ）</t>
  </si>
  <si>
    <t xml:space="preserve">新旧混在期間の手順</t>
  </si>
  <si>
    <t xml:space="preserve">短いほどいいがゼロにはならない</t>
  </si>
  <si>
    <t xml:space="preserve">切替手順書</t>
  </si>
  <si>
    <t xml:space="preserve">分単位の手順</t>
  </si>
  <si>
    <t xml:space="preserve">照合と判定時刻を入れる</t>
  </si>
  <si>
    <t xml:space="preserve">インシデント対応体制（指揮・対応・連絡・記録）</t>
  </si>
  <si>
    <t xml:space="preserve">移行／運用</t>
  </si>
  <si>
    <t xml:space="preserve">四役を分ける</t>
  </si>
  <si>
    <t xml:space="preserve">切替／障害</t>
  </si>
  <si>
    <t xml:space="preserve">指揮は手を動かさない</t>
  </si>
  <si>
    <t xml:space="preserve">データ移行計画（抽出・変換・投入）</t>
  </si>
  <si>
    <t xml:space="preserve">変換ルールを表にする</t>
  </si>
  <si>
    <t xml:space="preserve">手で直さず表で直す</t>
  </si>
  <si>
    <t xml:space="preserve">移行リハーサル</t>
  </si>
  <si>
    <t xml:space="preserve">二回行う</t>
  </si>
  <si>
    <t xml:space="preserve">一回目で壊れる箇所、二回目で確認</t>
  </si>
  <si>
    <t xml:space="preserve">移行データ検証</t>
  </si>
  <si>
    <t xml:space="preserve">件数と金額を照合</t>
  </si>
  <si>
    <t xml:space="preserve">件数が合っても金額は合わないことがある</t>
  </si>
  <si>
    <t xml:space="preserve">社内・取引先への事前連絡</t>
  </si>
  <si>
    <t xml:space="preserve">影響大・関心低の相手に先に</t>
  </si>
  <si>
    <t xml:space="preserve">説明会→実機演習→直前確認</t>
  </si>
  <si>
    <t xml:space="preserve">一回で覚える人はいない</t>
  </si>
  <si>
    <t xml:space="preserve">項目と基準を先に決めて表で判定</t>
  </si>
  <si>
    <t xml:space="preserve">承認の証跡を残す</t>
  </si>
  <si>
    <t xml:space="preserve">旧手段の停止（抜け道の封鎖）</t>
  </si>
  <si>
    <t xml:space="preserve">定着</t>
  </si>
  <si>
    <t xml:space="preserve">旧ファイルを書けなくする</t>
  </si>
  <si>
    <t xml:space="preserve">残すと使われる</t>
  </si>
  <si>
    <t xml:space="preserve">ハイパーケア</t>
  </si>
  <si>
    <t xml:space="preserve">切替直後の即応期間</t>
  </si>
  <si>
    <t xml:space="preserve">減らなければ設計か教育の問題</t>
  </si>
  <si>
    <t xml:space="preserve">知らない・できない・やりたくない・得がない</t>
  </si>
  <si>
    <t xml:space="preserve">教育で直るのは一つ</t>
  </si>
  <si>
    <t xml:space="preserve">変化曲線</t>
  </si>
  <si>
    <t xml:space="preserve">導入直後に一度生産性が下がる</t>
  </si>
  <si>
    <t xml:space="preserve">先に伝える。戻さない</t>
  </si>
  <si>
    <t xml:space="preserve">ADKAR</t>
  </si>
  <si>
    <t xml:space="preserve">認知→欲求→知識→能力→強化</t>
  </si>
  <si>
    <t xml:space="preserve">知識だけ教えて本番にしない</t>
  </si>
  <si>
    <r>
      <rPr>
        <sz val="10"/>
        <rFont val="Arial"/>
        <family val="0"/>
        <charset val="1"/>
      </rPr>
      <t xml:space="preserve">Kotter </t>
    </r>
    <r>
      <rPr>
        <sz val="10"/>
        <rFont val="WenQuanYi Zen Hei"/>
        <family val="2"/>
      </rPr>
      <t xml:space="preserve">の八段階</t>
    </r>
  </si>
  <si>
    <t xml:space="preserve">危機感→推進→ビジョン→周知→障害除去→短期成果→定着→文化</t>
  </si>
  <si>
    <t xml:space="preserve">構想〜定着</t>
  </si>
  <si>
    <t xml:space="preserve">順番を飛ばすと戻る</t>
  </si>
  <si>
    <t xml:space="preserve">部署ごとに先に覚えた人を置く</t>
  </si>
  <si>
    <t xml:space="preserve">窓口の前にもう一段</t>
  </si>
  <si>
    <t xml:space="preserve">問い合わせを一覧化</t>
  </si>
  <si>
    <t xml:space="preserve">旧手段の残存回数を数える</t>
  </si>
  <si>
    <t xml:space="preserve">利用率より正直</t>
  </si>
  <si>
    <t xml:space="preserve">経営者が自分の言葉で早く具体的に</t>
  </si>
  <si>
    <t xml:space="preserve">承認印では伝わらない</t>
  </si>
  <si>
    <t xml:space="preserve">運用設計</t>
  </si>
  <si>
    <t xml:space="preserve">運用</t>
  </si>
  <si>
    <t xml:space="preserve">窓口・マスタ・不具合・変更・版上げ・監視・棚卸し</t>
  </si>
  <si>
    <t xml:space="preserve">運用移行</t>
  </si>
  <si>
    <t xml:space="preserve">終了後の担当を決める</t>
  </si>
  <si>
    <r>
      <rPr>
        <sz val="10"/>
        <rFont val="Arial"/>
        <family val="0"/>
        <charset val="1"/>
      </rPr>
      <t xml:space="preserve">ITSM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ITIL</t>
    </r>
    <r>
      <rPr>
        <sz val="10"/>
        <rFont val="WenQuanYi Zen Hei"/>
        <family val="2"/>
      </rPr>
      <t xml:space="preserve">）</t>
    </r>
  </si>
  <si>
    <t xml:space="preserve">要求・インシデント・問題・変更の型</t>
  </si>
  <si>
    <t xml:space="preserve">運用設計の枠組み</t>
  </si>
  <si>
    <t xml:space="preserve">技術的負債管理</t>
  </si>
  <si>
    <t xml:space="preserve">急いで作ったものの撤去期限</t>
  </si>
  <si>
    <t xml:space="preserve">残すと二重管理</t>
  </si>
  <si>
    <t xml:space="preserve">業務標準の維持</t>
  </si>
  <si>
    <t xml:space="preserve">手順書の更新責任</t>
  </si>
  <si>
    <t xml:space="preserve">更新者と更新日を書く</t>
  </si>
  <si>
    <r>
      <rPr>
        <sz val="10"/>
        <rFont val="Arial"/>
        <family val="0"/>
        <charset val="1"/>
      </rPr>
      <t xml:space="preserve">KPI </t>
    </r>
    <r>
      <rPr>
        <sz val="10"/>
        <rFont val="WenQuanYi Zen Hei"/>
        <family val="2"/>
      </rPr>
      <t xml:space="preserve">に対して実績を測る</t>
    </r>
  </si>
  <si>
    <t xml:space="preserve">測る人と時期を先に決める</t>
  </si>
  <si>
    <r>
      <rPr>
        <sz val="10"/>
        <rFont val="Arial"/>
        <family val="0"/>
        <charset val="1"/>
      </rPr>
      <t xml:space="preserve">PDCA</t>
    </r>
    <r>
      <rPr>
        <sz val="10"/>
        <rFont val="WenQuanYi Zen Hei"/>
        <family val="2"/>
      </rPr>
      <t xml:space="preserve">（継続改善）</t>
    </r>
  </si>
  <si>
    <t xml:space="preserve">稼働後の改善の輪</t>
  </si>
  <si>
    <t xml:space="preserve">要望一覧を定期的に見直す</t>
  </si>
  <si>
    <t xml:space="preserve">年次業務棚卸し</t>
  </si>
  <si>
    <t xml:space="preserve">業務一覧を年一回更新</t>
  </si>
  <si>
    <t xml:space="preserve">無くなった業務と隠れ業務を確認</t>
  </si>
  <si>
    <t xml:space="preserve">良かった・悪かった・次</t>
  </si>
  <si>
    <t xml:space="preserve">終結</t>
  </si>
  <si>
    <t xml:space="preserve">個人を責めない</t>
  </si>
  <si>
    <t xml:space="preserve">先に軸を置いて枠に入れて議論する</t>
  </si>
  <si>
    <t xml:space="preserve">全工程</t>
  </si>
  <si>
    <t xml:space="preserve">一からフレームを作らない。入らなければ壊す</t>
  </si>
  <si>
    <t xml:space="preserve">軸</t>
  </si>
  <si>
    <t xml:space="preserve">目盛り・意味</t>
  </si>
  <si>
    <t xml:space="preserve">改善／改革</t>
  </si>
  <si>
    <t xml:space="preserve">速くするのか、変えるのか</t>
  </si>
  <si>
    <r>
      <rPr>
        <sz val="10"/>
        <rFont val="Arial"/>
        <family val="0"/>
        <charset val="1"/>
      </rPr>
      <t xml:space="preserve">As-Is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To-Be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Gap</t>
    </r>
  </si>
  <si>
    <t xml:space="preserve">現状、あるべき姿、その差</t>
  </si>
  <si>
    <t xml:space="preserve">業務／システム</t>
  </si>
  <si>
    <t xml:space="preserve">どちらの話か</t>
  </si>
  <si>
    <t xml:space="preserve">論点整理</t>
  </si>
  <si>
    <t xml:space="preserve">あるべき姿／問題／課題／原因／真因</t>
  </si>
  <si>
    <t xml:space="preserve">人／プロセス／ルール／システム</t>
  </si>
  <si>
    <t xml:space="preserve">原因の在処。システムで直せるのは一つ</t>
  </si>
  <si>
    <t xml:space="preserve">事実／解釈／行動（空・雨・傘）</t>
  </si>
  <si>
    <t xml:space="preserve">報告書・構想書の行の分け方</t>
  </si>
  <si>
    <t xml:space="preserve">判断／処理／例外</t>
  </si>
  <si>
    <t xml:space="preserve">消えるのは処理</t>
  </si>
  <si>
    <t xml:space="preserve">要望／要件</t>
  </si>
  <si>
    <t xml:space="preserve">あると嬉しい、ないと困る</t>
  </si>
  <si>
    <t xml:space="preserve">三層で書き紐づける</t>
  </si>
  <si>
    <t xml:space="preserve">調達方式</t>
  </si>
  <si>
    <r>
      <rPr>
        <sz val="10"/>
        <rFont val="Arial"/>
        <family val="0"/>
        <charset val="1"/>
      </rPr>
      <t xml:space="preserve">Fit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Gap</t>
    </r>
    <r>
      <rPr>
        <sz val="10"/>
        <rFont val="WenQuanYi Zen Hei"/>
        <family val="2"/>
      </rPr>
      <t xml:space="preserve">（吸収・作る・諦める）</t>
    </r>
  </si>
  <si>
    <t xml:space="preserve">製品適合</t>
  </si>
  <si>
    <t xml:space="preserve">時間か成果か</t>
  </si>
  <si>
    <t xml:space="preserve">一括／並行／段階</t>
  </si>
  <si>
    <t xml:space="preserve">切替方式</t>
  </si>
  <si>
    <t xml:space="preserve">正常系／異常系／境界値</t>
  </si>
  <si>
    <t xml:space="preserve">テストの三種</t>
  </si>
  <si>
    <r>
      <rPr>
        <sz val="10"/>
        <rFont val="WenQuanYi Zen Hei"/>
        <family val="2"/>
      </rPr>
      <t xml:space="preserve">影響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関心</t>
    </r>
  </si>
  <si>
    <t xml:space="preserve">誰が後で止めるか</t>
  </si>
  <si>
    <r>
      <rPr>
        <sz val="10"/>
        <rFont val="WenQuanYi Zen Hei"/>
        <family val="2"/>
      </rPr>
      <t xml:space="preserve">確率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影響</t>
    </r>
  </si>
  <si>
    <t xml:space="preserve">リスクの並べ方</t>
  </si>
  <si>
    <r>
      <rPr>
        <sz val="10"/>
        <rFont val="WenQuanYi Zen Hei"/>
        <family val="2"/>
      </rPr>
      <t xml:space="preserve">効果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実現難易度</t>
    </r>
  </si>
  <si>
    <t xml:space="preserve">施策の優先順位</t>
  </si>
  <si>
    <t xml:space="preserve">削減／回避／創出</t>
  </si>
  <si>
    <t xml:space="preserve">効果の分類</t>
  </si>
  <si>
    <t xml:space="preserve">初期／運用／内部工数</t>
  </si>
  <si>
    <t xml:space="preserve">費用の分類</t>
  </si>
  <si>
    <t xml:space="preserve">構想／選定</t>
  </si>
  <si>
    <t xml:space="preserve">知らない／できない／やりたくない／得がない</t>
  </si>
  <si>
    <t xml:space="preserve">使われない理由</t>
  </si>
  <si>
    <t xml:space="preserve">指揮／対応／連絡／記録</t>
  </si>
  <si>
    <t xml:space="preserve">当日の四役</t>
  </si>
  <si>
    <t xml:space="preserve">定常／非定常</t>
  </si>
  <si>
    <t xml:space="preserve">毎日と月末・期末</t>
  </si>
  <si>
    <r>
      <rPr>
        <sz val="10"/>
        <rFont val="WenQuanYi Zen Hei"/>
        <family val="2"/>
      </rPr>
      <t xml:space="preserve">実行／責任／相談／報告（</t>
    </r>
    <r>
      <rPr>
        <sz val="10"/>
        <rFont val="Arial"/>
        <family val="0"/>
        <charset val="1"/>
      </rPr>
      <t xml:space="preserve">RACI</t>
    </r>
    <r>
      <rPr>
        <sz val="10"/>
        <rFont val="WenQuanYi Zen Hei"/>
        <family val="2"/>
      </rPr>
      <t xml:space="preserve">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</si>
</sst>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6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4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26.8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4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7" min="6" style="0" width="9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customFormat="false" ht="26.85" hidden="false" customHeight="false" outlineLevel="0" collapsed="false">
      <c r="A2" s="6" t="s">
        <v>26</v>
      </c>
      <c r="B2" s="7" t="s">
        <v>27</v>
      </c>
      <c r="C2" s="7" t="s">
        <v>28</v>
      </c>
      <c r="D2" s="8" t="s">
        <v>29</v>
      </c>
      <c r="E2" s="8" t="s">
        <v>30</v>
      </c>
      <c r="F2" s="9" t="n">
        <f aca="false">COUNTIF(タスク一覧!$B:$B,A2)</f>
        <v>12</v>
      </c>
      <c r="G2" s="9" t="n">
        <f aca="false">COUNTIF(成果物一覧!$B:$B,A2)</f>
        <v>12</v>
      </c>
    </row>
    <row r="3" customFormat="false" ht="26.85" hidden="false" customHeight="false" outlineLevel="0" collapsed="false">
      <c r="A3" s="10" t="s">
        <v>31</v>
      </c>
      <c r="B3" s="7" t="s">
        <v>32</v>
      </c>
      <c r="C3" s="7" t="s">
        <v>33</v>
      </c>
      <c r="D3" s="7" t="s">
        <v>34</v>
      </c>
      <c r="E3" s="8" t="s">
        <v>35</v>
      </c>
      <c r="F3" s="9" t="n">
        <f aca="false">COUNTIF(タスク一覧!$B:$B,A3)</f>
        <v>21</v>
      </c>
      <c r="G3" s="9" t="n">
        <f aca="false">COUNTIF(成果物一覧!$B:$B,A3)</f>
        <v>21</v>
      </c>
    </row>
    <row r="4" customFormat="false" ht="26.85" hidden="false" customHeight="false" outlineLevel="0" collapsed="false">
      <c r="A4" s="11" t="s">
        <v>36</v>
      </c>
      <c r="B4" s="7" t="s">
        <v>37</v>
      </c>
      <c r="C4" s="7" t="s">
        <v>38</v>
      </c>
      <c r="D4" s="7" t="s">
        <v>39</v>
      </c>
      <c r="E4" s="8" t="s">
        <v>40</v>
      </c>
      <c r="F4" s="9" t="n">
        <f aca="false">COUNTIF(タスク一覧!$B:$B,A4)</f>
        <v>12</v>
      </c>
      <c r="G4" s="9" t="n">
        <f aca="false">COUNTIF(成果物一覧!$B:$B,A4)</f>
        <v>12</v>
      </c>
    </row>
    <row r="5" customFormat="false" ht="15" hidden="false" customHeight="false" outlineLevel="0" collapsed="false">
      <c r="A5" s="12" t="s">
        <v>41</v>
      </c>
      <c r="B5" s="7" t="s">
        <v>42</v>
      </c>
      <c r="C5" s="7" t="s">
        <v>43</v>
      </c>
      <c r="D5" s="7" t="s">
        <v>44</v>
      </c>
      <c r="E5" s="8" t="s">
        <v>40</v>
      </c>
      <c r="F5" s="9" t="n">
        <f aca="false">COUNTIF(タスク一覧!$B:$B,A5)</f>
        <v>12</v>
      </c>
      <c r="G5" s="9" t="n">
        <f aca="false">COUNTIF(成果物一覧!$B:$B,A5)</f>
        <v>12</v>
      </c>
    </row>
    <row r="6" customFormat="false" ht="26.85" hidden="false" customHeight="false" outlineLevel="0" collapsed="false">
      <c r="A6" s="13" t="s">
        <v>45</v>
      </c>
      <c r="B6" s="7" t="s">
        <v>46</v>
      </c>
      <c r="C6" s="7" t="s">
        <v>47</v>
      </c>
      <c r="D6" s="7" t="s">
        <v>48</v>
      </c>
      <c r="E6" s="8" t="s">
        <v>49</v>
      </c>
      <c r="F6" s="9" t="n">
        <f aca="false">COUNTIF(タスク一覧!$B:$B,A6)</f>
        <v>6</v>
      </c>
      <c r="G6" s="9" t="n">
        <f aca="false">COUNTIF(成果物一覧!$B:$B,A6)</f>
        <v>6</v>
      </c>
    </row>
    <row r="7" customFormat="false" ht="26.85" hidden="false" customHeight="false" outlineLevel="0" collapsed="false">
      <c r="A7" s="14" t="s">
        <v>50</v>
      </c>
      <c r="B7" s="7" t="s">
        <v>51</v>
      </c>
      <c r="C7" s="7" t="s">
        <v>52</v>
      </c>
      <c r="D7" s="7" t="s">
        <v>53</v>
      </c>
      <c r="E7" s="8" t="s">
        <v>54</v>
      </c>
      <c r="F7" s="9" t="n">
        <f aca="false">COUNTIF(タスク一覧!$B:$B,A7)</f>
        <v>8</v>
      </c>
      <c r="G7" s="9" t="n">
        <f aca="false">COUNTIF(成果物一覧!$B:$B,A7)</f>
        <v>8</v>
      </c>
    </row>
    <row r="8" customFormat="false" ht="26.85" hidden="false" customHeight="false" outlineLevel="0" collapsed="false">
      <c r="A8" s="10" t="s">
        <v>55</v>
      </c>
      <c r="B8" s="7" t="s">
        <v>56</v>
      </c>
      <c r="C8" s="7" t="s">
        <v>57</v>
      </c>
      <c r="D8" s="8" t="s">
        <v>58</v>
      </c>
      <c r="E8" s="8" t="s">
        <v>49</v>
      </c>
      <c r="F8" s="9" t="n">
        <f aca="false">COUNTIF(タスク一覧!$B:$B,A8)</f>
        <v>6</v>
      </c>
      <c r="G8" s="9" t="n">
        <f aca="false">COUNTIF(成果物一覧!$B:$B,A8)</f>
        <v>6</v>
      </c>
    </row>
    <row r="9" customFormat="false" ht="26.85" hidden="false" customHeight="false" outlineLevel="0" collapsed="false">
      <c r="A9" s="11" t="s">
        <v>59</v>
      </c>
      <c r="B9" s="7" t="s">
        <v>60</v>
      </c>
      <c r="C9" s="7" t="s">
        <v>61</v>
      </c>
      <c r="D9" s="7" t="s">
        <v>62</v>
      </c>
      <c r="E9" s="8" t="s">
        <v>30</v>
      </c>
      <c r="F9" s="9" t="n">
        <f aca="false">COUNTIF(タスク一覧!$B:$B,A9)</f>
        <v>8</v>
      </c>
      <c r="G9" s="9" t="n">
        <f aca="false">COUNTIF(成果物一覧!$B:$B,A9)</f>
        <v>8</v>
      </c>
    </row>
    <row r="10" customFormat="false" ht="26.85" hidden="false" customHeight="false" outlineLevel="0" collapsed="false">
      <c r="A10" s="12" t="s">
        <v>63</v>
      </c>
      <c r="B10" s="7" t="s">
        <v>64</v>
      </c>
      <c r="C10" s="7" t="s">
        <v>65</v>
      </c>
      <c r="D10" s="7" t="s">
        <v>66</v>
      </c>
      <c r="E10" s="8" t="s">
        <v>67</v>
      </c>
      <c r="F10" s="9" t="n">
        <f aca="false">COUNTIF(タスク一覧!$B:$B,A10)</f>
        <v>9</v>
      </c>
      <c r="G10" s="9" t="n">
        <f aca="false">COUNTIF(成果物一覧!$B:$B,A10)</f>
        <v>9</v>
      </c>
    </row>
    <row r="11" customFormat="false" ht="15" hidden="false" customHeight="false" outlineLevel="0" collapsed="false">
      <c r="A11" s="15" t="s">
        <v>68</v>
      </c>
      <c r="B11" s="15"/>
      <c r="C11" s="15"/>
      <c r="D11" s="15"/>
      <c r="E11" s="15"/>
      <c r="F11" s="16" t="n">
        <f aca="false">SUM(F2:F10)</f>
        <v>94</v>
      </c>
      <c r="G11" s="16" t="n">
        <f aca="false">SUM(G2:G10)</f>
        <v>94</v>
      </c>
    </row>
    <row r="13" customFormat="false" ht="15" hidden="false" customHeight="false" outlineLevel="0" collapsed="false">
      <c r="A13" s="1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4"/>
    <col collapsed="false" customWidth="true" hidden="false" outlineLevel="0" max="10" min="10" style="0" width="36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8" t="s">
        <v>70</v>
      </c>
      <c r="B1" s="5" t="s">
        <v>19</v>
      </c>
      <c r="C1" s="5" t="s">
        <v>71</v>
      </c>
      <c r="D1" s="5" t="s">
        <v>20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76</v>
      </c>
      <c r="J1" s="5" t="s">
        <v>77</v>
      </c>
      <c r="K1" s="5" t="s">
        <v>78</v>
      </c>
    </row>
    <row r="2" customFormat="false" ht="39.55" hidden="false" customHeight="false" outlineLevel="0" collapsed="false">
      <c r="A2" s="8" t="s">
        <v>79</v>
      </c>
      <c r="B2" s="6" t="s">
        <v>26</v>
      </c>
      <c r="C2" s="7" t="s">
        <v>80</v>
      </c>
      <c r="D2" s="7" t="s">
        <v>81</v>
      </c>
      <c r="E2" s="7" t="s">
        <v>82</v>
      </c>
      <c r="F2" s="7" t="s">
        <v>83</v>
      </c>
      <c r="G2" s="8" t="s">
        <v>84</v>
      </c>
      <c r="H2" s="7" t="s">
        <v>85</v>
      </c>
      <c r="I2" s="7" t="s">
        <v>86</v>
      </c>
      <c r="J2" s="7" t="s">
        <v>87</v>
      </c>
      <c r="K2" s="7" t="s">
        <v>88</v>
      </c>
    </row>
    <row r="3" customFormat="false" ht="26.85" hidden="false" customHeight="false" outlineLevel="0" collapsed="false">
      <c r="A3" s="8" t="s">
        <v>89</v>
      </c>
      <c r="B3" s="6" t="s">
        <v>26</v>
      </c>
      <c r="C3" s="7" t="s">
        <v>90</v>
      </c>
      <c r="D3" s="7" t="s">
        <v>91</v>
      </c>
      <c r="E3" s="7" t="s">
        <v>92</v>
      </c>
      <c r="F3" s="7" t="s">
        <v>93</v>
      </c>
      <c r="G3" s="8" t="s">
        <v>84</v>
      </c>
      <c r="H3" s="8" t="s">
        <v>94</v>
      </c>
      <c r="I3" s="7" t="s">
        <v>95</v>
      </c>
      <c r="J3" s="7" t="s">
        <v>96</v>
      </c>
      <c r="K3" s="7" t="s">
        <v>97</v>
      </c>
    </row>
    <row r="4" customFormat="false" ht="26.85" hidden="false" customHeight="false" outlineLevel="0" collapsed="false">
      <c r="A4" s="8" t="s">
        <v>98</v>
      </c>
      <c r="B4" s="6" t="s">
        <v>26</v>
      </c>
      <c r="C4" s="7" t="s">
        <v>99</v>
      </c>
      <c r="D4" s="7" t="s">
        <v>100</v>
      </c>
      <c r="E4" s="7" t="s">
        <v>101</v>
      </c>
      <c r="F4" s="7" t="s">
        <v>102</v>
      </c>
      <c r="G4" s="8" t="s">
        <v>103</v>
      </c>
      <c r="H4" s="8" t="s">
        <v>94</v>
      </c>
      <c r="I4" s="7" t="s">
        <v>104</v>
      </c>
      <c r="J4" s="7" t="s">
        <v>105</v>
      </c>
      <c r="K4" s="8" t="s">
        <v>106</v>
      </c>
    </row>
    <row r="5" customFormat="false" ht="26.85" hidden="false" customHeight="false" outlineLevel="0" collapsed="false">
      <c r="A5" s="8" t="s">
        <v>107</v>
      </c>
      <c r="B5" s="6" t="s">
        <v>26</v>
      </c>
      <c r="C5" s="7" t="s">
        <v>108</v>
      </c>
      <c r="D5" s="7" t="s">
        <v>109</v>
      </c>
      <c r="E5" s="7" t="s">
        <v>110</v>
      </c>
      <c r="F5" s="7" t="s">
        <v>111</v>
      </c>
      <c r="G5" s="8" t="s">
        <v>103</v>
      </c>
      <c r="H5" s="8" t="s">
        <v>94</v>
      </c>
      <c r="I5" s="7" t="s">
        <v>112</v>
      </c>
      <c r="J5" s="7" t="s">
        <v>113</v>
      </c>
      <c r="K5" s="7" t="s">
        <v>114</v>
      </c>
    </row>
    <row r="6" customFormat="false" ht="26.85" hidden="false" customHeight="false" outlineLevel="0" collapsed="false">
      <c r="A6" s="8" t="s">
        <v>115</v>
      </c>
      <c r="B6" s="6" t="s">
        <v>26</v>
      </c>
      <c r="C6" s="7" t="s">
        <v>116</v>
      </c>
      <c r="D6" s="7" t="s">
        <v>117</v>
      </c>
      <c r="E6" s="7" t="s">
        <v>118</v>
      </c>
      <c r="F6" s="7" t="s">
        <v>119</v>
      </c>
      <c r="G6" s="8" t="s">
        <v>103</v>
      </c>
      <c r="H6" s="8" t="s">
        <v>94</v>
      </c>
      <c r="I6" s="7" t="s">
        <v>120</v>
      </c>
      <c r="J6" s="7" t="s">
        <v>121</v>
      </c>
      <c r="K6" s="7" t="s">
        <v>122</v>
      </c>
    </row>
    <row r="7" customFormat="false" ht="26.85" hidden="false" customHeight="false" outlineLevel="0" collapsed="false">
      <c r="A7" s="8" t="s">
        <v>123</v>
      </c>
      <c r="B7" s="6" t="s">
        <v>26</v>
      </c>
      <c r="C7" s="7" t="s">
        <v>124</v>
      </c>
      <c r="D7" s="7" t="s">
        <v>125</v>
      </c>
      <c r="E7" s="7" t="s">
        <v>126</v>
      </c>
      <c r="F7" s="7" t="s">
        <v>127</v>
      </c>
      <c r="G7" s="8" t="s">
        <v>103</v>
      </c>
      <c r="H7" s="7" t="s">
        <v>128</v>
      </c>
      <c r="I7" s="7" t="s">
        <v>129</v>
      </c>
      <c r="J7" s="7" t="s">
        <v>130</v>
      </c>
      <c r="K7" s="7" t="s">
        <v>131</v>
      </c>
    </row>
    <row r="8" customFormat="false" ht="26.85" hidden="false" customHeight="false" outlineLevel="0" collapsed="false">
      <c r="A8" s="8" t="s">
        <v>132</v>
      </c>
      <c r="B8" s="6" t="s">
        <v>26</v>
      </c>
      <c r="C8" s="7" t="s">
        <v>133</v>
      </c>
      <c r="D8" s="7" t="s">
        <v>134</v>
      </c>
      <c r="E8" s="7" t="s">
        <v>135</v>
      </c>
      <c r="F8" s="7" t="s">
        <v>136</v>
      </c>
      <c r="G8" s="8" t="s">
        <v>103</v>
      </c>
      <c r="H8" s="8" t="s">
        <v>94</v>
      </c>
      <c r="I8" s="7" t="s">
        <v>137</v>
      </c>
      <c r="J8" s="7" t="s">
        <v>138</v>
      </c>
      <c r="K8" s="7" t="s">
        <v>139</v>
      </c>
    </row>
    <row r="9" customFormat="false" ht="26.85" hidden="false" customHeight="false" outlineLevel="0" collapsed="false">
      <c r="A9" s="8" t="s">
        <v>140</v>
      </c>
      <c r="B9" s="6" t="s">
        <v>26</v>
      </c>
      <c r="C9" s="7" t="s">
        <v>141</v>
      </c>
      <c r="D9" s="7" t="s">
        <v>142</v>
      </c>
      <c r="E9" s="8" t="s">
        <v>143</v>
      </c>
      <c r="F9" s="7" t="s">
        <v>144</v>
      </c>
      <c r="G9" s="8" t="s">
        <v>103</v>
      </c>
      <c r="H9" s="8" t="s">
        <v>94</v>
      </c>
      <c r="I9" s="7" t="s">
        <v>145</v>
      </c>
      <c r="J9" s="7" t="s">
        <v>146</v>
      </c>
      <c r="K9" s="7" t="s">
        <v>147</v>
      </c>
    </row>
    <row r="10" customFormat="false" ht="26.85" hidden="false" customHeight="false" outlineLevel="0" collapsed="false">
      <c r="A10" s="8" t="s">
        <v>148</v>
      </c>
      <c r="B10" s="6" t="s">
        <v>26</v>
      </c>
      <c r="C10" s="7" t="s">
        <v>149</v>
      </c>
      <c r="D10" s="7" t="s">
        <v>150</v>
      </c>
      <c r="E10" s="7" t="s">
        <v>151</v>
      </c>
      <c r="F10" s="7" t="s">
        <v>152</v>
      </c>
      <c r="G10" s="8" t="s">
        <v>103</v>
      </c>
      <c r="H10" s="8" t="s">
        <v>94</v>
      </c>
      <c r="I10" s="7" t="s">
        <v>153</v>
      </c>
      <c r="J10" s="7" t="s">
        <v>154</v>
      </c>
      <c r="K10" s="7" t="s">
        <v>155</v>
      </c>
    </row>
    <row r="11" customFormat="false" ht="15" hidden="false" customHeight="false" outlineLevel="0" collapsed="false">
      <c r="A11" s="8" t="s">
        <v>156</v>
      </c>
      <c r="B11" s="6" t="s">
        <v>26</v>
      </c>
      <c r="C11" s="7" t="s">
        <v>157</v>
      </c>
      <c r="D11" s="7" t="s">
        <v>158</v>
      </c>
      <c r="E11" s="7" t="s">
        <v>159</v>
      </c>
      <c r="F11" s="7" t="s">
        <v>160</v>
      </c>
      <c r="G11" s="8" t="s">
        <v>103</v>
      </c>
      <c r="H11" s="8" t="s">
        <v>94</v>
      </c>
      <c r="I11" s="7" t="s">
        <v>161</v>
      </c>
      <c r="J11" s="7" t="s">
        <v>162</v>
      </c>
      <c r="K11" s="7" t="s">
        <v>163</v>
      </c>
    </row>
    <row r="12" customFormat="false" ht="26.85" hidden="false" customHeight="false" outlineLevel="0" collapsed="false">
      <c r="A12" s="8" t="s">
        <v>164</v>
      </c>
      <c r="B12" s="6" t="s">
        <v>26</v>
      </c>
      <c r="C12" s="7" t="s">
        <v>165</v>
      </c>
      <c r="D12" s="7" t="s">
        <v>166</v>
      </c>
      <c r="E12" s="7" t="s">
        <v>167</v>
      </c>
      <c r="F12" s="7" t="s">
        <v>168</v>
      </c>
      <c r="G12" s="8" t="s">
        <v>103</v>
      </c>
      <c r="H12" s="7" t="s">
        <v>128</v>
      </c>
      <c r="I12" s="7" t="s">
        <v>169</v>
      </c>
      <c r="J12" s="7" t="s">
        <v>170</v>
      </c>
      <c r="K12" s="7" t="s">
        <v>171</v>
      </c>
    </row>
    <row r="13" customFormat="false" ht="26.85" hidden="false" customHeight="false" outlineLevel="0" collapsed="false">
      <c r="A13" s="8" t="s">
        <v>172</v>
      </c>
      <c r="B13" s="6" t="s">
        <v>26</v>
      </c>
      <c r="C13" s="7" t="s">
        <v>173</v>
      </c>
      <c r="D13" s="7" t="s">
        <v>174</v>
      </c>
      <c r="E13" s="8" t="s">
        <v>175</v>
      </c>
      <c r="F13" s="7" t="s">
        <v>176</v>
      </c>
      <c r="G13" s="8" t="s">
        <v>84</v>
      </c>
      <c r="H13" s="7" t="s">
        <v>85</v>
      </c>
      <c r="I13" s="7" t="s">
        <v>177</v>
      </c>
      <c r="J13" s="7" t="s">
        <v>178</v>
      </c>
      <c r="K13" s="7" t="s">
        <v>179</v>
      </c>
    </row>
    <row r="14" customFormat="false" ht="26.85" hidden="false" customHeight="false" outlineLevel="0" collapsed="false">
      <c r="A14" s="8" t="s">
        <v>180</v>
      </c>
      <c r="B14" s="10" t="s">
        <v>31</v>
      </c>
      <c r="C14" s="7" t="s">
        <v>181</v>
      </c>
      <c r="D14" s="7" t="s">
        <v>182</v>
      </c>
      <c r="E14" s="7" t="s">
        <v>183</v>
      </c>
      <c r="F14" s="7" t="s">
        <v>184</v>
      </c>
      <c r="G14" s="8" t="s">
        <v>84</v>
      </c>
      <c r="H14" s="8" t="s">
        <v>94</v>
      </c>
      <c r="I14" s="7" t="s">
        <v>185</v>
      </c>
      <c r="J14" s="7" t="s">
        <v>186</v>
      </c>
      <c r="K14" s="7" t="s">
        <v>187</v>
      </c>
    </row>
    <row r="15" customFormat="false" ht="26.85" hidden="false" customHeight="false" outlineLevel="0" collapsed="false">
      <c r="A15" s="8" t="s">
        <v>188</v>
      </c>
      <c r="B15" s="10" t="s">
        <v>31</v>
      </c>
      <c r="C15" s="7" t="s">
        <v>189</v>
      </c>
      <c r="D15" s="7" t="s">
        <v>190</v>
      </c>
      <c r="E15" s="7" t="s">
        <v>191</v>
      </c>
      <c r="F15" s="7" t="s">
        <v>192</v>
      </c>
      <c r="G15" s="8" t="s">
        <v>84</v>
      </c>
      <c r="H15" s="8" t="s">
        <v>94</v>
      </c>
      <c r="I15" s="7" t="s">
        <v>193</v>
      </c>
      <c r="J15" s="7" t="s">
        <v>194</v>
      </c>
      <c r="K15" s="7" t="s">
        <v>195</v>
      </c>
    </row>
    <row r="16" customFormat="false" ht="26.85" hidden="false" customHeight="false" outlineLevel="0" collapsed="false">
      <c r="A16" s="8" t="s">
        <v>196</v>
      </c>
      <c r="B16" s="10" t="s">
        <v>31</v>
      </c>
      <c r="C16" s="7" t="s">
        <v>197</v>
      </c>
      <c r="D16" s="7" t="s">
        <v>198</v>
      </c>
      <c r="E16" s="7" t="s">
        <v>199</v>
      </c>
      <c r="F16" s="7" t="s">
        <v>200</v>
      </c>
      <c r="G16" s="8" t="s">
        <v>84</v>
      </c>
      <c r="H16" s="8" t="s">
        <v>94</v>
      </c>
      <c r="I16" s="7" t="s">
        <v>201</v>
      </c>
      <c r="J16" s="7" t="s">
        <v>202</v>
      </c>
      <c r="K16" s="7" t="s">
        <v>203</v>
      </c>
    </row>
    <row r="17" customFormat="false" ht="26.85" hidden="false" customHeight="false" outlineLevel="0" collapsed="false">
      <c r="A17" s="8" t="s">
        <v>204</v>
      </c>
      <c r="B17" s="10" t="s">
        <v>31</v>
      </c>
      <c r="C17" s="7" t="s">
        <v>205</v>
      </c>
      <c r="D17" s="7" t="s">
        <v>206</v>
      </c>
      <c r="E17" s="8" t="s">
        <v>207</v>
      </c>
      <c r="F17" s="7" t="s">
        <v>208</v>
      </c>
      <c r="G17" s="7" t="s">
        <v>128</v>
      </c>
      <c r="H17" s="7" t="s">
        <v>128</v>
      </c>
      <c r="I17" s="7" t="s">
        <v>209</v>
      </c>
      <c r="J17" s="7" t="s">
        <v>210</v>
      </c>
      <c r="K17" s="8" t="s">
        <v>211</v>
      </c>
    </row>
    <row r="18" customFormat="false" ht="26.85" hidden="false" customHeight="false" outlineLevel="0" collapsed="false">
      <c r="A18" s="8" t="s">
        <v>212</v>
      </c>
      <c r="B18" s="10" t="s">
        <v>31</v>
      </c>
      <c r="C18" s="7" t="s">
        <v>213</v>
      </c>
      <c r="D18" s="7" t="s">
        <v>214</v>
      </c>
      <c r="E18" s="7" t="s">
        <v>215</v>
      </c>
      <c r="F18" s="7" t="s">
        <v>216</v>
      </c>
      <c r="G18" s="8" t="s">
        <v>84</v>
      </c>
      <c r="H18" s="7" t="s">
        <v>128</v>
      </c>
      <c r="I18" s="7" t="s">
        <v>217</v>
      </c>
      <c r="J18" s="7" t="s">
        <v>218</v>
      </c>
      <c r="K18" s="8" t="s">
        <v>219</v>
      </c>
    </row>
    <row r="19" customFormat="false" ht="26.85" hidden="false" customHeight="false" outlineLevel="0" collapsed="false">
      <c r="A19" s="8" t="s">
        <v>220</v>
      </c>
      <c r="B19" s="10" t="s">
        <v>31</v>
      </c>
      <c r="C19" s="7" t="s">
        <v>221</v>
      </c>
      <c r="D19" s="7" t="s">
        <v>222</v>
      </c>
      <c r="E19" s="7" t="s">
        <v>223</v>
      </c>
      <c r="F19" s="7" t="s">
        <v>224</v>
      </c>
      <c r="G19" s="8" t="s">
        <v>84</v>
      </c>
      <c r="H19" s="7" t="s">
        <v>128</v>
      </c>
      <c r="I19" s="7" t="s">
        <v>225</v>
      </c>
      <c r="J19" s="7" t="s">
        <v>226</v>
      </c>
      <c r="K19" s="7" t="s">
        <v>227</v>
      </c>
    </row>
    <row r="20" customFormat="false" ht="26.85" hidden="false" customHeight="false" outlineLevel="0" collapsed="false">
      <c r="A20" s="8" t="s">
        <v>228</v>
      </c>
      <c r="B20" s="10" t="s">
        <v>31</v>
      </c>
      <c r="C20" s="7" t="s">
        <v>229</v>
      </c>
      <c r="D20" s="7" t="s">
        <v>230</v>
      </c>
      <c r="E20" s="7" t="s">
        <v>231</v>
      </c>
      <c r="F20" s="7" t="s">
        <v>232</v>
      </c>
      <c r="G20" s="8" t="s">
        <v>84</v>
      </c>
      <c r="H20" s="7" t="s">
        <v>128</v>
      </c>
      <c r="I20" s="7" t="s">
        <v>233</v>
      </c>
      <c r="J20" s="7" t="s">
        <v>234</v>
      </c>
      <c r="K20" s="7" t="s">
        <v>235</v>
      </c>
    </row>
    <row r="21" customFormat="false" ht="26.85" hidden="false" customHeight="false" outlineLevel="0" collapsed="false">
      <c r="A21" s="8" t="s">
        <v>236</v>
      </c>
      <c r="B21" s="10" t="s">
        <v>31</v>
      </c>
      <c r="C21" s="7" t="s">
        <v>237</v>
      </c>
      <c r="D21" s="7" t="s">
        <v>238</v>
      </c>
      <c r="E21" s="7" t="s">
        <v>239</v>
      </c>
      <c r="F21" s="7" t="s">
        <v>240</v>
      </c>
      <c r="G21" s="8" t="s">
        <v>84</v>
      </c>
      <c r="H21" s="8" t="s">
        <v>94</v>
      </c>
      <c r="I21" s="7" t="s">
        <v>241</v>
      </c>
      <c r="J21" s="7" t="s">
        <v>242</v>
      </c>
      <c r="K21" s="7" t="s">
        <v>243</v>
      </c>
    </row>
    <row r="22" customFormat="false" ht="26.85" hidden="false" customHeight="false" outlineLevel="0" collapsed="false">
      <c r="A22" s="8" t="s">
        <v>244</v>
      </c>
      <c r="B22" s="10" t="s">
        <v>31</v>
      </c>
      <c r="C22" s="7" t="s">
        <v>245</v>
      </c>
      <c r="D22" s="7" t="s">
        <v>246</v>
      </c>
      <c r="E22" s="7" t="s">
        <v>247</v>
      </c>
      <c r="F22" s="7" t="s">
        <v>248</v>
      </c>
      <c r="G22" s="8" t="s">
        <v>84</v>
      </c>
      <c r="H22" s="8" t="s">
        <v>94</v>
      </c>
      <c r="I22" s="7" t="s">
        <v>249</v>
      </c>
      <c r="J22" s="7" t="s">
        <v>250</v>
      </c>
      <c r="K22" s="7" t="s">
        <v>251</v>
      </c>
    </row>
    <row r="23" customFormat="false" ht="26.85" hidden="false" customHeight="false" outlineLevel="0" collapsed="false">
      <c r="A23" s="8" t="s">
        <v>252</v>
      </c>
      <c r="B23" s="10" t="s">
        <v>31</v>
      </c>
      <c r="C23" s="7" t="s">
        <v>253</v>
      </c>
      <c r="D23" s="7" t="s">
        <v>254</v>
      </c>
      <c r="E23" s="7" t="s">
        <v>255</v>
      </c>
      <c r="F23" s="7" t="s">
        <v>256</v>
      </c>
      <c r="G23" s="8" t="s">
        <v>84</v>
      </c>
      <c r="H23" s="8" t="s">
        <v>94</v>
      </c>
      <c r="I23" s="7" t="s">
        <v>257</v>
      </c>
      <c r="J23" s="7" t="s">
        <v>258</v>
      </c>
      <c r="K23" s="7" t="s">
        <v>259</v>
      </c>
    </row>
    <row r="24" customFormat="false" ht="26.85" hidden="false" customHeight="false" outlineLevel="0" collapsed="false">
      <c r="A24" s="8" t="s">
        <v>260</v>
      </c>
      <c r="B24" s="10" t="s">
        <v>31</v>
      </c>
      <c r="C24" s="7" t="s">
        <v>261</v>
      </c>
      <c r="D24" s="7" t="s">
        <v>262</v>
      </c>
      <c r="E24" s="7" t="s">
        <v>263</v>
      </c>
      <c r="F24" s="7" t="s">
        <v>264</v>
      </c>
      <c r="G24" s="8" t="s">
        <v>84</v>
      </c>
      <c r="H24" s="7" t="s">
        <v>128</v>
      </c>
      <c r="I24" s="7" t="s">
        <v>265</v>
      </c>
      <c r="J24" s="7" t="s">
        <v>266</v>
      </c>
      <c r="K24" s="7" t="s">
        <v>267</v>
      </c>
    </row>
    <row r="25" customFormat="false" ht="26.85" hidden="false" customHeight="false" outlineLevel="0" collapsed="false">
      <c r="A25" s="8" t="s">
        <v>268</v>
      </c>
      <c r="B25" s="10" t="s">
        <v>31</v>
      </c>
      <c r="C25" s="7" t="s">
        <v>269</v>
      </c>
      <c r="D25" s="7" t="s">
        <v>270</v>
      </c>
      <c r="E25" s="7" t="s">
        <v>271</v>
      </c>
      <c r="F25" s="7" t="s">
        <v>272</v>
      </c>
      <c r="G25" s="8" t="s">
        <v>84</v>
      </c>
      <c r="H25" s="7" t="s">
        <v>85</v>
      </c>
      <c r="I25" s="7" t="s">
        <v>273</v>
      </c>
      <c r="J25" s="7" t="s">
        <v>274</v>
      </c>
      <c r="K25" s="7" t="s">
        <v>275</v>
      </c>
    </row>
    <row r="26" customFormat="false" ht="15" hidden="false" customHeight="false" outlineLevel="0" collapsed="false">
      <c r="A26" s="8" t="s">
        <v>276</v>
      </c>
      <c r="B26" s="10" t="s">
        <v>31</v>
      </c>
      <c r="C26" s="7" t="s">
        <v>277</v>
      </c>
      <c r="D26" s="7" t="s">
        <v>278</v>
      </c>
      <c r="E26" s="7" t="s">
        <v>279</v>
      </c>
      <c r="F26" s="7" t="s">
        <v>280</v>
      </c>
      <c r="G26" s="8" t="s">
        <v>84</v>
      </c>
      <c r="H26" s="7" t="s">
        <v>128</v>
      </c>
      <c r="I26" s="7" t="s">
        <v>281</v>
      </c>
      <c r="J26" s="7" t="s">
        <v>282</v>
      </c>
      <c r="K26" s="7" t="s">
        <v>283</v>
      </c>
    </row>
    <row r="27" customFormat="false" ht="26.85" hidden="false" customHeight="false" outlineLevel="0" collapsed="false">
      <c r="A27" s="8" t="s">
        <v>284</v>
      </c>
      <c r="B27" s="10" t="s">
        <v>31</v>
      </c>
      <c r="C27" s="8" t="s">
        <v>285</v>
      </c>
      <c r="D27" s="7" t="s">
        <v>286</v>
      </c>
      <c r="E27" s="8" t="s">
        <v>287</v>
      </c>
      <c r="F27" s="8" t="s">
        <v>288</v>
      </c>
      <c r="G27" s="8" t="s">
        <v>84</v>
      </c>
      <c r="H27" s="7" t="s">
        <v>128</v>
      </c>
      <c r="I27" s="7" t="s">
        <v>289</v>
      </c>
      <c r="J27" s="7" t="s">
        <v>290</v>
      </c>
      <c r="K27" s="8" t="s">
        <v>291</v>
      </c>
    </row>
    <row r="28" customFormat="false" ht="26.85" hidden="false" customHeight="false" outlineLevel="0" collapsed="false">
      <c r="A28" s="8" t="s">
        <v>292</v>
      </c>
      <c r="B28" s="10" t="s">
        <v>31</v>
      </c>
      <c r="C28" s="7" t="s">
        <v>293</v>
      </c>
      <c r="D28" s="7" t="s">
        <v>294</v>
      </c>
      <c r="E28" s="7" t="s">
        <v>295</v>
      </c>
      <c r="F28" s="7" t="s">
        <v>296</v>
      </c>
      <c r="G28" s="8" t="s">
        <v>84</v>
      </c>
      <c r="H28" s="7" t="s">
        <v>85</v>
      </c>
      <c r="I28" s="7" t="s">
        <v>297</v>
      </c>
      <c r="J28" s="7" t="s">
        <v>298</v>
      </c>
      <c r="K28" s="8" t="s">
        <v>299</v>
      </c>
    </row>
    <row r="29" customFormat="false" ht="26.85" hidden="false" customHeight="false" outlineLevel="0" collapsed="false">
      <c r="A29" s="8" t="s">
        <v>300</v>
      </c>
      <c r="B29" s="10" t="s">
        <v>31</v>
      </c>
      <c r="C29" s="7" t="s">
        <v>301</v>
      </c>
      <c r="D29" s="7" t="s">
        <v>302</v>
      </c>
      <c r="E29" s="7" t="s">
        <v>303</v>
      </c>
      <c r="F29" s="7" t="s">
        <v>304</v>
      </c>
      <c r="G29" s="8" t="s">
        <v>84</v>
      </c>
      <c r="H29" s="7" t="s">
        <v>85</v>
      </c>
      <c r="I29" s="7" t="s">
        <v>305</v>
      </c>
      <c r="J29" s="7" t="s">
        <v>306</v>
      </c>
      <c r="K29" s="7" t="s">
        <v>307</v>
      </c>
    </row>
    <row r="30" customFormat="false" ht="15" hidden="false" customHeight="false" outlineLevel="0" collapsed="false">
      <c r="A30" s="8" t="s">
        <v>308</v>
      </c>
      <c r="B30" s="10" t="s">
        <v>31</v>
      </c>
      <c r="C30" s="7" t="s">
        <v>309</v>
      </c>
      <c r="D30" s="7" t="s">
        <v>310</v>
      </c>
      <c r="E30" s="7" t="s">
        <v>311</v>
      </c>
      <c r="F30" s="7" t="s">
        <v>312</v>
      </c>
      <c r="G30" s="8" t="s">
        <v>84</v>
      </c>
      <c r="H30" s="7" t="s">
        <v>85</v>
      </c>
      <c r="I30" s="7" t="s">
        <v>313</v>
      </c>
      <c r="J30" s="7" t="s">
        <v>314</v>
      </c>
      <c r="K30" s="7" t="s">
        <v>315</v>
      </c>
    </row>
    <row r="31" customFormat="false" ht="15" hidden="false" customHeight="false" outlineLevel="0" collapsed="false">
      <c r="A31" s="8" t="s">
        <v>316</v>
      </c>
      <c r="B31" s="10" t="s">
        <v>31</v>
      </c>
      <c r="C31" s="7" t="s">
        <v>317</v>
      </c>
      <c r="D31" s="7" t="s">
        <v>318</v>
      </c>
      <c r="E31" s="7" t="s">
        <v>319</v>
      </c>
      <c r="F31" s="7" t="s">
        <v>320</v>
      </c>
      <c r="G31" s="8" t="s">
        <v>84</v>
      </c>
      <c r="H31" s="8" t="s">
        <v>94</v>
      </c>
      <c r="I31" s="7" t="s">
        <v>321</v>
      </c>
      <c r="J31" s="7" t="s">
        <v>322</v>
      </c>
      <c r="K31" s="7" t="s">
        <v>323</v>
      </c>
    </row>
    <row r="32" customFormat="false" ht="26.85" hidden="false" customHeight="false" outlineLevel="0" collapsed="false">
      <c r="A32" s="8" t="s">
        <v>324</v>
      </c>
      <c r="B32" s="10" t="s">
        <v>31</v>
      </c>
      <c r="C32" s="7" t="s">
        <v>325</v>
      </c>
      <c r="D32" s="7" t="s">
        <v>326</v>
      </c>
      <c r="E32" s="7" t="s">
        <v>327</v>
      </c>
      <c r="F32" s="7" t="s">
        <v>328</v>
      </c>
      <c r="G32" s="8" t="s">
        <v>84</v>
      </c>
      <c r="H32" s="7" t="s">
        <v>85</v>
      </c>
      <c r="I32" s="7" t="s">
        <v>329</v>
      </c>
      <c r="J32" s="7" t="s">
        <v>330</v>
      </c>
      <c r="K32" s="7" t="s">
        <v>331</v>
      </c>
    </row>
    <row r="33" customFormat="false" ht="15" hidden="false" customHeight="false" outlineLevel="0" collapsed="false">
      <c r="A33" s="8" t="s">
        <v>332</v>
      </c>
      <c r="B33" s="10" t="s">
        <v>31</v>
      </c>
      <c r="C33" s="7" t="s">
        <v>333</v>
      </c>
      <c r="D33" s="7" t="s">
        <v>334</v>
      </c>
      <c r="E33" s="7" t="s">
        <v>335</v>
      </c>
      <c r="F33" s="7" t="s">
        <v>336</v>
      </c>
      <c r="G33" s="8" t="s">
        <v>84</v>
      </c>
      <c r="H33" s="7" t="s">
        <v>85</v>
      </c>
      <c r="I33" s="7" t="s">
        <v>337</v>
      </c>
      <c r="J33" s="7" t="s">
        <v>338</v>
      </c>
      <c r="K33" s="7" t="s">
        <v>339</v>
      </c>
    </row>
    <row r="34" customFormat="false" ht="26.85" hidden="false" customHeight="false" outlineLevel="0" collapsed="false">
      <c r="A34" s="8" t="s">
        <v>340</v>
      </c>
      <c r="B34" s="10" t="s">
        <v>31</v>
      </c>
      <c r="C34" s="7" t="s">
        <v>341</v>
      </c>
      <c r="D34" s="7" t="s">
        <v>342</v>
      </c>
      <c r="E34" s="7" t="s">
        <v>343</v>
      </c>
      <c r="F34" s="7" t="s">
        <v>344</v>
      </c>
      <c r="G34" s="8" t="s">
        <v>84</v>
      </c>
      <c r="H34" s="7" t="s">
        <v>85</v>
      </c>
      <c r="I34" s="7" t="s">
        <v>345</v>
      </c>
      <c r="J34" s="7" t="s">
        <v>346</v>
      </c>
      <c r="K34" s="7" t="s">
        <v>347</v>
      </c>
    </row>
    <row r="35" customFormat="false" ht="26.85" hidden="false" customHeight="false" outlineLevel="0" collapsed="false">
      <c r="A35" s="8" t="s">
        <v>348</v>
      </c>
      <c r="B35" s="11" t="s">
        <v>36</v>
      </c>
      <c r="C35" s="7" t="s">
        <v>349</v>
      </c>
      <c r="D35" s="7" t="s">
        <v>350</v>
      </c>
      <c r="E35" s="7" t="s">
        <v>351</v>
      </c>
      <c r="F35" s="7" t="s">
        <v>352</v>
      </c>
      <c r="G35" s="8" t="s">
        <v>84</v>
      </c>
      <c r="H35" s="8" t="s">
        <v>94</v>
      </c>
      <c r="I35" s="7" t="s">
        <v>353</v>
      </c>
      <c r="J35" s="7" t="s">
        <v>354</v>
      </c>
      <c r="K35" s="7" t="s">
        <v>355</v>
      </c>
    </row>
    <row r="36" customFormat="false" ht="26.85" hidden="false" customHeight="false" outlineLevel="0" collapsed="false">
      <c r="A36" s="8" t="s">
        <v>356</v>
      </c>
      <c r="B36" s="11" t="s">
        <v>36</v>
      </c>
      <c r="C36" s="7" t="s">
        <v>357</v>
      </c>
      <c r="D36" s="7" t="s">
        <v>358</v>
      </c>
      <c r="E36" s="7" t="s">
        <v>359</v>
      </c>
      <c r="F36" s="7" t="s">
        <v>360</v>
      </c>
      <c r="G36" s="8" t="s">
        <v>84</v>
      </c>
      <c r="H36" s="7" t="s">
        <v>128</v>
      </c>
      <c r="I36" s="7" t="s">
        <v>361</v>
      </c>
      <c r="J36" s="7" t="s">
        <v>362</v>
      </c>
      <c r="K36" s="7" t="s">
        <v>363</v>
      </c>
    </row>
    <row r="37" customFormat="false" ht="26.85" hidden="false" customHeight="false" outlineLevel="0" collapsed="false">
      <c r="A37" s="8" t="s">
        <v>364</v>
      </c>
      <c r="B37" s="11" t="s">
        <v>36</v>
      </c>
      <c r="C37" s="7" t="s">
        <v>365</v>
      </c>
      <c r="D37" s="7" t="s">
        <v>366</v>
      </c>
      <c r="E37" s="7" t="s">
        <v>367</v>
      </c>
      <c r="F37" s="7" t="s">
        <v>368</v>
      </c>
      <c r="G37" s="8" t="s">
        <v>84</v>
      </c>
      <c r="H37" s="7" t="s">
        <v>128</v>
      </c>
      <c r="I37" s="7" t="s">
        <v>369</v>
      </c>
      <c r="J37" s="7" t="s">
        <v>370</v>
      </c>
      <c r="K37" s="7" t="s">
        <v>371</v>
      </c>
    </row>
    <row r="38" customFormat="false" ht="26.85" hidden="false" customHeight="false" outlineLevel="0" collapsed="false">
      <c r="A38" s="8" t="s">
        <v>372</v>
      </c>
      <c r="B38" s="11" t="s">
        <v>36</v>
      </c>
      <c r="C38" s="7" t="s">
        <v>373</v>
      </c>
      <c r="D38" s="7" t="s">
        <v>374</v>
      </c>
      <c r="E38" s="7" t="s">
        <v>375</v>
      </c>
      <c r="F38" s="7" t="s">
        <v>376</v>
      </c>
      <c r="G38" s="8" t="s">
        <v>103</v>
      </c>
      <c r="H38" s="7" t="s">
        <v>128</v>
      </c>
      <c r="I38" s="7" t="s">
        <v>377</v>
      </c>
      <c r="J38" s="8" t="s">
        <v>378</v>
      </c>
      <c r="K38" s="7" t="s">
        <v>379</v>
      </c>
    </row>
    <row r="39" customFormat="false" ht="15" hidden="false" customHeight="false" outlineLevel="0" collapsed="false">
      <c r="A39" s="8" t="s">
        <v>380</v>
      </c>
      <c r="B39" s="11" t="s">
        <v>36</v>
      </c>
      <c r="C39" s="7" t="s">
        <v>381</v>
      </c>
      <c r="D39" s="7" t="s">
        <v>382</v>
      </c>
      <c r="E39" s="7" t="s">
        <v>383</v>
      </c>
      <c r="F39" s="7" t="s">
        <v>384</v>
      </c>
      <c r="G39" s="8" t="s">
        <v>103</v>
      </c>
      <c r="H39" s="8" t="s">
        <v>94</v>
      </c>
      <c r="I39" s="7" t="s">
        <v>385</v>
      </c>
      <c r="J39" s="7" t="s">
        <v>386</v>
      </c>
      <c r="K39" s="7" t="s">
        <v>387</v>
      </c>
    </row>
    <row r="40" customFormat="false" ht="26.85" hidden="false" customHeight="false" outlineLevel="0" collapsed="false">
      <c r="A40" s="8" t="s">
        <v>388</v>
      </c>
      <c r="B40" s="11" t="s">
        <v>36</v>
      </c>
      <c r="C40" s="7" t="s">
        <v>389</v>
      </c>
      <c r="D40" s="7" t="s">
        <v>390</v>
      </c>
      <c r="E40" s="7" t="s">
        <v>391</v>
      </c>
      <c r="F40" s="7" t="s">
        <v>392</v>
      </c>
      <c r="G40" s="8" t="s">
        <v>103</v>
      </c>
      <c r="H40" s="7" t="s">
        <v>128</v>
      </c>
      <c r="I40" s="7" t="s">
        <v>393</v>
      </c>
      <c r="J40" s="7" t="s">
        <v>394</v>
      </c>
      <c r="K40" s="7" t="s">
        <v>395</v>
      </c>
    </row>
    <row r="41" customFormat="false" ht="26.85" hidden="false" customHeight="false" outlineLevel="0" collapsed="false">
      <c r="A41" s="8" t="s">
        <v>396</v>
      </c>
      <c r="B41" s="11" t="s">
        <v>36</v>
      </c>
      <c r="C41" s="8" t="s">
        <v>397</v>
      </c>
      <c r="D41" s="7" t="s">
        <v>398</v>
      </c>
      <c r="E41" s="8" t="s">
        <v>399</v>
      </c>
      <c r="F41" s="7" t="s">
        <v>400</v>
      </c>
      <c r="G41" s="8" t="s">
        <v>103</v>
      </c>
      <c r="H41" s="7" t="s">
        <v>401</v>
      </c>
      <c r="I41" s="7" t="s">
        <v>402</v>
      </c>
      <c r="J41" s="7" t="s">
        <v>403</v>
      </c>
      <c r="K41" s="8" t="s">
        <v>404</v>
      </c>
    </row>
    <row r="42" customFormat="false" ht="26.85" hidden="false" customHeight="false" outlineLevel="0" collapsed="false">
      <c r="A42" s="8" t="s">
        <v>405</v>
      </c>
      <c r="B42" s="11" t="s">
        <v>36</v>
      </c>
      <c r="C42" s="7" t="s">
        <v>406</v>
      </c>
      <c r="D42" s="7" t="s">
        <v>407</v>
      </c>
      <c r="E42" s="7" t="s">
        <v>408</v>
      </c>
      <c r="F42" s="7" t="s">
        <v>409</v>
      </c>
      <c r="G42" s="8" t="s">
        <v>103</v>
      </c>
      <c r="H42" s="7" t="s">
        <v>128</v>
      </c>
      <c r="I42" s="7" t="s">
        <v>410</v>
      </c>
      <c r="J42" s="7" t="s">
        <v>411</v>
      </c>
      <c r="K42" s="7" t="s">
        <v>412</v>
      </c>
    </row>
    <row r="43" customFormat="false" ht="26.85" hidden="false" customHeight="false" outlineLevel="0" collapsed="false">
      <c r="A43" s="8" t="s">
        <v>413</v>
      </c>
      <c r="B43" s="11" t="s">
        <v>36</v>
      </c>
      <c r="C43" s="7" t="s">
        <v>414</v>
      </c>
      <c r="D43" s="7" t="s">
        <v>415</v>
      </c>
      <c r="E43" s="7" t="s">
        <v>416</v>
      </c>
      <c r="F43" s="7" t="s">
        <v>417</v>
      </c>
      <c r="G43" s="8" t="s">
        <v>103</v>
      </c>
      <c r="H43" s="7" t="s">
        <v>128</v>
      </c>
      <c r="I43" s="7" t="s">
        <v>418</v>
      </c>
      <c r="J43" s="7" t="s">
        <v>419</v>
      </c>
      <c r="K43" s="7" t="s">
        <v>420</v>
      </c>
    </row>
    <row r="44" customFormat="false" ht="15" hidden="false" customHeight="false" outlineLevel="0" collapsed="false">
      <c r="A44" s="8" t="s">
        <v>421</v>
      </c>
      <c r="B44" s="11" t="s">
        <v>36</v>
      </c>
      <c r="C44" s="7" t="s">
        <v>422</v>
      </c>
      <c r="D44" s="7" t="s">
        <v>423</v>
      </c>
      <c r="E44" s="7" t="s">
        <v>424</v>
      </c>
      <c r="F44" s="7" t="s">
        <v>425</v>
      </c>
      <c r="G44" s="8" t="s">
        <v>84</v>
      </c>
      <c r="H44" s="7" t="s">
        <v>128</v>
      </c>
      <c r="I44" s="7" t="s">
        <v>426</v>
      </c>
      <c r="J44" s="7" t="s">
        <v>427</v>
      </c>
      <c r="K44" s="7" t="s">
        <v>424</v>
      </c>
    </row>
    <row r="45" customFormat="false" ht="26.85" hidden="false" customHeight="false" outlineLevel="0" collapsed="false">
      <c r="A45" s="8" t="s">
        <v>428</v>
      </c>
      <c r="B45" s="11" t="s">
        <v>36</v>
      </c>
      <c r="C45" s="8" t="s">
        <v>429</v>
      </c>
      <c r="D45" s="7" t="s">
        <v>430</v>
      </c>
      <c r="E45" s="7" t="s">
        <v>431</v>
      </c>
      <c r="F45" s="7" t="s">
        <v>432</v>
      </c>
      <c r="G45" s="8" t="s">
        <v>84</v>
      </c>
      <c r="H45" s="7" t="s">
        <v>128</v>
      </c>
      <c r="I45" s="8" t="s">
        <v>433</v>
      </c>
      <c r="J45" s="7" t="s">
        <v>434</v>
      </c>
      <c r="K45" s="8" t="s">
        <v>435</v>
      </c>
    </row>
    <row r="46" customFormat="false" ht="39.55" hidden="false" customHeight="false" outlineLevel="0" collapsed="false">
      <c r="A46" s="8" t="s">
        <v>436</v>
      </c>
      <c r="B46" s="11" t="s">
        <v>36</v>
      </c>
      <c r="C46" s="7" t="s">
        <v>437</v>
      </c>
      <c r="D46" s="7" t="s">
        <v>438</v>
      </c>
      <c r="E46" s="7" t="s">
        <v>439</v>
      </c>
      <c r="F46" s="7" t="s">
        <v>440</v>
      </c>
      <c r="G46" s="8" t="s">
        <v>84</v>
      </c>
      <c r="H46" s="7" t="s">
        <v>85</v>
      </c>
      <c r="I46" s="7" t="s">
        <v>441</v>
      </c>
      <c r="J46" s="7" t="s">
        <v>442</v>
      </c>
      <c r="K46" s="7" t="s">
        <v>443</v>
      </c>
    </row>
    <row r="47" customFormat="false" ht="15" hidden="false" customHeight="false" outlineLevel="0" collapsed="false">
      <c r="A47" s="8" t="s">
        <v>444</v>
      </c>
      <c r="B47" s="12" t="s">
        <v>41</v>
      </c>
      <c r="C47" s="7" t="s">
        <v>445</v>
      </c>
      <c r="D47" s="7" t="s">
        <v>446</v>
      </c>
      <c r="E47" s="7" t="s">
        <v>447</v>
      </c>
      <c r="F47" s="7" t="s">
        <v>448</v>
      </c>
      <c r="G47" s="8" t="s">
        <v>84</v>
      </c>
      <c r="H47" s="7" t="s">
        <v>85</v>
      </c>
      <c r="I47" s="7" t="s">
        <v>449</v>
      </c>
      <c r="J47" s="7" t="s">
        <v>450</v>
      </c>
      <c r="K47" s="7" t="s">
        <v>451</v>
      </c>
    </row>
    <row r="48" customFormat="false" ht="26.85" hidden="false" customHeight="false" outlineLevel="0" collapsed="false">
      <c r="A48" s="8" t="s">
        <v>452</v>
      </c>
      <c r="B48" s="12" t="s">
        <v>41</v>
      </c>
      <c r="C48" s="8" t="s">
        <v>453</v>
      </c>
      <c r="D48" s="7" t="s">
        <v>454</v>
      </c>
      <c r="E48" s="8" t="s">
        <v>455</v>
      </c>
      <c r="F48" s="7" t="s">
        <v>456</v>
      </c>
      <c r="G48" s="8" t="s">
        <v>103</v>
      </c>
      <c r="H48" s="8" t="s">
        <v>94</v>
      </c>
      <c r="I48" s="7" t="s">
        <v>457</v>
      </c>
      <c r="J48" s="7" t="s">
        <v>458</v>
      </c>
      <c r="K48" s="8" t="s">
        <v>459</v>
      </c>
    </row>
    <row r="49" customFormat="false" ht="26.85" hidden="false" customHeight="false" outlineLevel="0" collapsed="false">
      <c r="A49" s="8" t="s">
        <v>460</v>
      </c>
      <c r="B49" s="12" t="s">
        <v>41</v>
      </c>
      <c r="C49" s="8" t="s">
        <v>461</v>
      </c>
      <c r="D49" s="7" t="s">
        <v>462</v>
      </c>
      <c r="E49" s="8" t="s">
        <v>463</v>
      </c>
      <c r="F49" s="7" t="s">
        <v>464</v>
      </c>
      <c r="G49" s="8" t="s">
        <v>84</v>
      </c>
      <c r="H49" s="7" t="s">
        <v>347</v>
      </c>
      <c r="I49" s="7" t="s">
        <v>465</v>
      </c>
      <c r="J49" s="7" t="s">
        <v>466</v>
      </c>
      <c r="K49" s="8" t="s">
        <v>467</v>
      </c>
    </row>
    <row r="50" customFormat="false" ht="26.85" hidden="false" customHeight="false" outlineLevel="0" collapsed="false">
      <c r="A50" s="8" t="s">
        <v>468</v>
      </c>
      <c r="B50" s="12" t="s">
        <v>41</v>
      </c>
      <c r="C50" s="8" t="s">
        <v>469</v>
      </c>
      <c r="D50" s="8" t="s">
        <v>470</v>
      </c>
      <c r="E50" s="8" t="s">
        <v>471</v>
      </c>
      <c r="F50" s="7" t="s">
        <v>472</v>
      </c>
      <c r="G50" s="8" t="s">
        <v>103</v>
      </c>
      <c r="H50" s="8" t="s">
        <v>84</v>
      </c>
      <c r="I50" s="7" t="s">
        <v>473</v>
      </c>
      <c r="J50" s="8" t="s">
        <v>474</v>
      </c>
      <c r="K50" s="8" t="s">
        <v>475</v>
      </c>
    </row>
    <row r="51" customFormat="false" ht="15" hidden="false" customHeight="false" outlineLevel="0" collapsed="false">
      <c r="A51" s="8" t="s">
        <v>476</v>
      </c>
      <c r="B51" s="12" t="s">
        <v>41</v>
      </c>
      <c r="C51" s="7" t="s">
        <v>477</v>
      </c>
      <c r="D51" s="7" t="s">
        <v>478</v>
      </c>
      <c r="E51" s="7" t="s">
        <v>479</v>
      </c>
      <c r="F51" s="7" t="s">
        <v>480</v>
      </c>
      <c r="G51" s="8" t="s">
        <v>481</v>
      </c>
      <c r="H51" s="8" t="s">
        <v>94</v>
      </c>
      <c r="I51" s="7" t="s">
        <v>482</v>
      </c>
      <c r="J51" s="7" t="s">
        <v>483</v>
      </c>
      <c r="K51" s="7" t="s">
        <v>484</v>
      </c>
    </row>
    <row r="52" customFormat="false" ht="26.85" hidden="false" customHeight="false" outlineLevel="0" collapsed="false">
      <c r="A52" s="8" t="s">
        <v>485</v>
      </c>
      <c r="B52" s="12" t="s">
        <v>41</v>
      </c>
      <c r="C52" s="7" t="s">
        <v>486</v>
      </c>
      <c r="D52" s="7" t="s">
        <v>487</v>
      </c>
      <c r="E52" s="7" t="s">
        <v>488</v>
      </c>
      <c r="F52" s="7" t="s">
        <v>489</v>
      </c>
      <c r="G52" s="8" t="s">
        <v>84</v>
      </c>
      <c r="H52" s="7" t="s">
        <v>347</v>
      </c>
      <c r="I52" s="7" t="s">
        <v>490</v>
      </c>
      <c r="J52" s="7" t="s">
        <v>491</v>
      </c>
      <c r="K52" s="7" t="s">
        <v>492</v>
      </c>
    </row>
    <row r="53" customFormat="false" ht="15" hidden="false" customHeight="false" outlineLevel="0" collapsed="false">
      <c r="A53" s="8" t="s">
        <v>493</v>
      </c>
      <c r="B53" s="12" t="s">
        <v>41</v>
      </c>
      <c r="C53" s="7" t="s">
        <v>494</v>
      </c>
      <c r="D53" s="7" t="s">
        <v>495</v>
      </c>
      <c r="E53" s="7" t="s">
        <v>496</v>
      </c>
      <c r="F53" s="7" t="s">
        <v>497</v>
      </c>
      <c r="G53" s="8" t="s">
        <v>103</v>
      </c>
      <c r="H53" s="8" t="s">
        <v>94</v>
      </c>
      <c r="I53" s="7" t="s">
        <v>498</v>
      </c>
      <c r="J53" s="7" t="s">
        <v>499</v>
      </c>
      <c r="K53" s="8" t="s">
        <v>500</v>
      </c>
    </row>
    <row r="54" customFormat="false" ht="26.85" hidden="false" customHeight="false" outlineLevel="0" collapsed="false">
      <c r="A54" s="8" t="s">
        <v>501</v>
      </c>
      <c r="B54" s="12" t="s">
        <v>41</v>
      </c>
      <c r="C54" s="7" t="s">
        <v>502</v>
      </c>
      <c r="D54" s="7" t="s">
        <v>503</v>
      </c>
      <c r="E54" s="7" t="s">
        <v>504</v>
      </c>
      <c r="F54" s="7" t="s">
        <v>505</v>
      </c>
      <c r="G54" s="8" t="s">
        <v>84</v>
      </c>
      <c r="H54" s="8" t="s">
        <v>94</v>
      </c>
      <c r="I54" s="7" t="s">
        <v>506</v>
      </c>
      <c r="J54" s="7" t="s">
        <v>507</v>
      </c>
      <c r="K54" s="7" t="s">
        <v>508</v>
      </c>
    </row>
    <row r="55" customFormat="false" ht="26.85" hidden="false" customHeight="false" outlineLevel="0" collapsed="false">
      <c r="A55" s="8" t="s">
        <v>509</v>
      </c>
      <c r="B55" s="12" t="s">
        <v>41</v>
      </c>
      <c r="C55" s="8" t="s">
        <v>510</v>
      </c>
      <c r="D55" s="7" t="s">
        <v>511</v>
      </c>
      <c r="E55" s="8" t="s">
        <v>512</v>
      </c>
      <c r="F55" s="7" t="s">
        <v>513</v>
      </c>
      <c r="G55" s="8" t="s">
        <v>84</v>
      </c>
      <c r="H55" s="8" t="s">
        <v>94</v>
      </c>
      <c r="I55" s="7" t="s">
        <v>514</v>
      </c>
      <c r="J55" s="7" t="s">
        <v>515</v>
      </c>
      <c r="K55" s="8" t="s">
        <v>516</v>
      </c>
    </row>
    <row r="56" customFormat="false" ht="15" hidden="false" customHeight="false" outlineLevel="0" collapsed="false">
      <c r="A56" s="8" t="s">
        <v>517</v>
      </c>
      <c r="B56" s="12" t="s">
        <v>41</v>
      </c>
      <c r="C56" s="7" t="s">
        <v>518</v>
      </c>
      <c r="D56" s="7" t="s">
        <v>519</v>
      </c>
      <c r="E56" s="7" t="s">
        <v>520</v>
      </c>
      <c r="F56" s="7" t="s">
        <v>521</v>
      </c>
      <c r="G56" s="8" t="s">
        <v>84</v>
      </c>
      <c r="H56" s="7" t="s">
        <v>85</v>
      </c>
      <c r="I56" s="7" t="s">
        <v>522</v>
      </c>
      <c r="J56" s="7" t="s">
        <v>523</v>
      </c>
      <c r="K56" s="7" t="s">
        <v>524</v>
      </c>
    </row>
    <row r="57" customFormat="false" ht="26.85" hidden="false" customHeight="false" outlineLevel="0" collapsed="false">
      <c r="A57" s="8" t="s">
        <v>525</v>
      </c>
      <c r="B57" s="12" t="s">
        <v>41</v>
      </c>
      <c r="C57" s="7" t="s">
        <v>526</v>
      </c>
      <c r="D57" s="7" t="s">
        <v>527</v>
      </c>
      <c r="E57" s="7" t="s">
        <v>528</v>
      </c>
      <c r="F57" s="7" t="s">
        <v>529</v>
      </c>
      <c r="G57" s="7" t="s">
        <v>530</v>
      </c>
      <c r="H57" s="7" t="s">
        <v>85</v>
      </c>
      <c r="I57" s="7" t="s">
        <v>531</v>
      </c>
      <c r="J57" s="7" t="s">
        <v>532</v>
      </c>
      <c r="K57" s="7" t="s">
        <v>533</v>
      </c>
    </row>
    <row r="58" customFormat="false" ht="26.85" hidden="false" customHeight="false" outlineLevel="0" collapsed="false">
      <c r="A58" s="8" t="s">
        <v>534</v>
      </c>
      <c r="B58" s="12" t="s">
        <v>41</v>
      </c>
      <c r="C58" s="7" t="s">
        <v>535</v>
      </c>
      <c r="D58" s="7" t="s">
        <v>536</v>
      </c>
      <c r="E58" s="7" t="s">
        <v>537</v>
      </c>
      <c r="F58" s="7" t="s">
        <v>538</v>
      </c>
      <c r="G58" s="7" t="s">
        <v>530</v>
      </c>
      <c r="H58" s="8" t="s">
        <v>84</v>
      </c>
      <c r="I58" s="7" t="s">
        <v>539</v>
      </c>
      <c r="J58" s="7" t="s">
        <v>540</v>
      </c>
      <c r="K58" s="7" t="s">
        <v>541</v>
      </c>
    </row>
    <row r="59" customFormat="false" ht="26.85" hidden="false" customHeight="false" outlineLevel="0" collapsed="false">
      <c r="A59" s="8" t="s">
        <v>542</v>
      </c>
      <c r="B59" s="13" t="s">
        <v>45</v>
      </c>
      <c r="C59" s="7" t="s">
        <v>543</v>
      </c>
      <c r="D59" s="7" t="s">
        <v>544</v>
      </c>
      <c r="E59" s="7" t="s">
        <v>545</v>
      </c>
      <c r="F59" s="7" t="s">
        <v>546</v>
      </c>
      <c r="G59" s="7" t="s">
        <v>547</v>
      </c>
      <c r="H59" s="7" t="s">
        <v>128</v>
      </c>
      <c r="I59" s="7" t="s">
        <v>548</v>
      </c>
      <c r="J59" s="7" t="s">
        <v>549</v>
      </c>
      <c r="K59" s="7" t="s">
        <v>550</v>
      </c>
    </row>
    <row r="60" customFormat="false" ht="26.85" hidden="false" customHeight="false" outlineLevel="0" collapsed="false">
      <c r="A60" s="8" t="s">
        <v>551</v>
      </c>
      <c r="B60" s="13" t="s">
        <v>45</v>
      </c>
      <c r="C60" s="7" t="s">
        <v>552</v>
      </c>
      <c r="D60" s="7" t="s">
        <v>553</v>
      </c>
      <c r="E60" s="8" t="s">
        <v>554</v>
      </c>
      <c r="F60" s="7" t="s">
        <v>555</v>
      </c>
      <c r="G60" s="7" t="s">
        <v>556</v>
      </c>
      <c r="H60" s="8" t="s">
        <v>84</v>
      </c>
      <c r="I60" s="7" t="s">
        <v>557</v>
      </c>
      <c r="J60" s="7" t="s">
        <v>558</v>
      </c>
      <c r="K60" s="7" t="s">
        <v>559</v>
      </c>
    </row>
    <row r="61" customFormat="false" ht="26.85" hidden="false" customHeight="false" outlineLevel="0" collapsed="false">
      <c r="A61" s="8" t="s">
        <v>560</v>
      </c>
      <c r="B61" s="13" t="s">
        <v>45</v>
      </c>
      <c r="C61" s="7" t="s">
        <v>561</v>
      </c>
      <c r="D61" s="7" t="s">
        <v>562</v>
      </c>
      <c r="E61" s="7" t="s">
        <v>563</v>
      </c>
      <c r="F61" s="7" t="s">
        <v>564</v>
      </c>
      <c r="G61" s="7" t="s">
        <v>547</v>
      </c>
      <c r="H61" s="7" t="s">
        <v>401</v>
      </c>
      <c r="I61" s="7" t="s">
        <v>565</v>
      </c>
      <c r="J61" s="7" t="s">
        <v>566</v>
      </c>
      <c r="K61" s="7" t="s">
        <v>567</v>
      </c>
    </row>
    <row r="62" customFormat="false" ht="15" hidden="false" customHeight="false" outlineLevel="0" collapsed="false">
      <c r="A62" s="8" t="s">
        <v>568</v>
      </c>
      <c r="B62" s="13" t="s">
        <v>45</v>
      </c>
      <c r="C62" s="7" t="s">
        <v>569</v>
      </c>
      <c r="D62" s="7" t="s">
        <v>570</v>
      </c>
      <c r="E62" s="7" t="s">
        <v>571</v>
      </c>
      <c r="F62" s="7" t="s">
        <v>572</v>
      </c>
      <c r="G62" s="8" t="s">
        <v>84</v>
      </c>
      <c r="H62" s="7" t="s">
        <v>128</v>
      </c>
      <c r="I62" s="7" t="s">
        <v>573</v>
      </c>
      <c r="J62" s="7" t="s">
        <v>574</v>
      </c>
      <c r="K62" s="7" t="s">
        <v>575</v>
      </c>
    </row>
    <row r="63" customFormat="false" ht="15" hidden="false" customHeight="false" outlineLevel="0" collapsed="false">
      <c r="A63" s="8" t="s">
        <v>576</v>
      </c>
      <c r="B63" s="13" t="s">
        <v>45</v>
      </c>
      <c r="C63" s="7" t="s">
        <v>577</v>
      </c>
      <c r="D63" s="7" t="s">
        <v>578</v>
      </c>
      <c r="E63" s="7" t="s">
        <v>579</v>
      </c>
      <c r="F63" s="7" t="s">
        <v>580</v>
      </c>
      <c r="G63" s="7" t="s">
        <v>581</v>
      </c>
      <c r="H63" s="7" t="s">
        <v>128</v>
      </c>
      <c r="I63" s="7" t="s">
        <v>582</v>
      </c>
      <c r="J63" s="7" t="s">
        <v>583</v>
      </c>
      <c r="K63" s="7" t="s">
        <v>584</v>
      </c>
    </row>
    <row r="64" customFormat="false" ht="26.85" hidden="false" customHeight="false" outlineLevel="0" collapsed="false">
      <c r="A64" s="8" t="s">
        <v>585</v>
      </c>
      <c r="B64" s="13" t="s">
        <v>45</v>
      </c>
      <c r="C64" s="7" t="s">
        <v>586</v>
      </c>
      <c r="D64" s="7" t="s">
        <v>587</v>
      </c>
      <c r="E64" s="7" t="s">
        <v>588</v>
      </c>
      <c r="F64" s="7" t="s">
        <v>589</v>
      </c>
      <c r="G64" s="7" t="s">
        <v>547</v>
      </c>
      <c r="H64" s="7" t="s">
        <v>128</v>
      </c>
      <c r="I64" s="7" t="s">
        <v>590</v>
      </c>
      <c r="J64" s="7" t="s">
        <v>591</v>
      </c>
      <c r="K64" s="7" t="s">
        <v>592</v>
      </c>
    </row>
    <row r="65" customFormat="false" ht="26.85" hidden="false" customHeight="false" outlineLevel="0" collapsed="false">
      <c r="A65" s="8" t="s">
        <v>593</v>
      </c>
      <c r="B65" s="14" t="s">
        <v>50</v>
      </c>
      <c r="C65" s="8" t="s">
        <v>594</v>
      </c>
      <c r="D65" s="7" t="s">
        <v>595</v>
      </c>
      <c r="E65" s="8" t="s">
        <v>596</v>
      </c>
      <c r="F65" s="7" t="s">
        <v>597</v>
      </c>
      <c r="G65" s="8" t="s">
        <v>84</v>
      </c>
      <c r="H65" s="8" t="s">
        <v>94</v>
      </c>
      <c r="I65" s="7" t="s">
        <v>598</v>
      </c>
      <c r="J65" s="7" t="s">
        <v>599</v>
      </c>
      <c r="K65" s="8" t="s">
        <v>600</v>
      </c>
    </row>
    <row r="66" customFormat="false" ht="15" hidden="false" customHeight="false" outlineLevel="0" collapsed="false">
      <c r="A66" s="8" t="s">
        <v>601</v>
      </c>
      <c r="B66" s="14" t="s">
        <v>50</v>
      </c>
      <c r="C66" s="7" t="s">
        <v>602</v>
      </c>
      <c r="D66" s="7" t="s">
        <v>603</v>
      </c>
      <c r="E66" s="7" t="s">
        <v>604</v>
      </c>
      <c r="F66" s="7" t="s">
        <v>605</v>
      </c>
      <c r="G66" s="8" t="s">
        <v>84</v>
      </c>
      <c r="H66" s="8" t="s">
        <v>94</v>
      </c>
      <c r="I66" s="7" t="s">
        <v>606</v>
      </c>
      <c r="J66" s="7" t="s">
        <v>607</v>
      </c>
      <c r="K66" s="7" t="s">
        <v>608</v>
      </c>
    </row>
    <row r="67" customFormat="false" ht="15" hidden="false" customHeight="false" outlineLevel="0" collapsed="false">
      <c r="A67" s="8" t="s">
        <v>609</v>
      </c>
      <c r="B67" s="14" t="s">
        <v>50</v>
      </c>
      <c r="C67" s="7" t="s">
        <v>610</v>
      </c>
      <c r="D67" s="7" t="s">
        <v>611</v>
      </c>
      <c r="E67" s="7" t="s">
        <v>612</v>
      </c>
      <c r="F67" s="7" t="s">
        <v>613</v>
      </c>
      <c r="G67" s="8" t="s">
        <v>84</v>
      </c>
      <c r="H67" s="8" t="s">
        <v>94</v>
      </c>
      <c r="I67" s="7" t="s">
        <v>614</v>
      </c>
      <c r="J67" s="7" t="s">
        <v>615</v>
      </c>
      <c r="K67" s="7" t="s">
        <v>616</v>
      </c>
    </row>
    <row r="68" customFormat="false" ht="26.85" hidden="false" customHeight="false" outlineLevel="0" collapsed="false">
      <c r="A68" s="8" t="s">
        <v>617</v>
      </c>
      <c r="B68" s="14" t="s">
        <v>50</v>
      </c>
      <c r="C68" s="7" t="s">
        <v>618</v>
      </c>
      <c r="D68" s="7" t="s">
        <v>619</v>
      </c>
      <c r="E68" s="7" t="s">
        <v>620</v>
      </c>
      <c r="F68" s="7" t="s">
        <v>621</v>
      </c>
      <c r="G68" s="8" t="s">
        <v>84</v>
      </c>
      <c r="H68" s="8" t="s">
        <v>94</v>
      </c>
      <c r="I68" s="7" t="s">
        <v>622</v>
      </c>
      <c r="J68" s="7" t="s">
        <v>623</v>
      </c>
      <c r="K68" s="7" t="s">
        <v>624</v>
      </c>
    </row>
    <row r="69" customFormat="false" ht="15" hidden="false" customHeight="false" outlineLevel="0" collapsed="false">
      <c r="A69" s="8" t="s">
        <v>625</v>
      </c>
      <c r="B69" s="14" t="s">
        <v>50</v>
      </c>
      <c r="C69" s="7" t="s">
        <v>626</v>
      </c>
      <c r="D69" s="7" t="s">
        <v>627</v>
      </c>
      <c r="E69" s="7" t="s">
        <v>628</v>
      </c>
      <c r="F69" s="7" t="s">
        <v>629</v>
      </c>
      <c r="G69" s="8" t="s">
        <v>84</v>
      </c>
      <c r="H69" s="8" t="s">
        <v>94</v>
      </c>
      <c r="I69" s="7" t="s">
        <v>630</v>
      </c>
      <c r="J69" s="7" t="s">
        <v>631</v>
      </c>
      <c r="K69" s="7" t="s">
        <v>628</v>
      </c>
    </row>
    <row r="70" customFormat="false" ht="26.85" hidden="false" customHeight="false" outlineLevel="0" collapsed="false">
      <c r="A70" s="8" t="s">
        <v>632</v>
      </c>
      <c r="B70" s="14" t="s">
        <v>50</v>
      </c>
      <c r="C70" s="7" t="s">
        <v>633</v>
      </c>
      <c r="D70" s="7" t="s">
        <v>634</v>
      </c>
      <c r="E70" s="7" t="s">
        <v>635</v>
      </c>
      <c r="F70" s="7" t="s">
        <v>636</v>
      </c>
      <c r="G70" s="8" t="s">
        <v>84</v>
      </c>
      <c r="H70" s="7" t="s">
        <v>347</v>
      </c>
      <c r="I70" s="7" t="s">
        <v>637</v>
      </c>
      <c r="J70" s="8" t="s">
        <v>638</v>
      </c>
      <c r="K70" s="7" t="s">
        <v>639</v>
      </c>
    </row>
    <row r="71" customFormat="false" ht="15" hidden="false" customHeight="false" outlineLevel="0" collapsed="false">
      <c r="A71" s="8" t="s">
        <v>640</v>
      </c>
      <c r="B71" s="14" t="s">
        <v>50</v>
      </c>
      <c r="C71" s="7" t="s">
        <v>641</v>
      </c>
      <c r="D71" s="7" t="s">
        <v>642</v>
      </c>
      <c r="E71" s="7" t="s">
        <v>643</v>
      </c>
      <c r="F71" s="7" t="s">
        <v>644</v>
      </c>
      <c r="G71" s="8" t="s">
        <v>84</v>
      </c>
      <c r="H71" s="8" t="s">
        <v>94</v>
      </c>
      <c r="I71" s="7" t="s">
        <v>645</v>
      </c>
      <c r="J71" s="7" t="s">
        <v>646</v>
      </c>
      <c r="K71" s="7" t="s">
        <v>647</v>
      </c>
    </row>
    <row r="72" customFormat="false" ht="26.85" hidden="false" customHeight="false" outlineLevel="0" collapsed="false">
      <c r="A72" s="8" t="s">
        <v>648</v>
      </c>
      <c r="B72" s="14" t="s">
        <v>50</v>
      </c>
      <c r="C72" s="7" t="s">
        <v>649</v>
      </c>
      <c r="D72" s="7" t="s">
        <v>650</v>
      </c>
      <c r="E72" s="7" t="s">
        <v>651</v>
      </c>
      <c r="F72" s="7" t="s">
        <v>652</v>
      </c>
      <c r="G72" s="7" t="s">
        <v>547</v>
      </c>
      <c r="H72" s="7" t="s">
        <v>128</v>
      </c>
      <c r="I72" s="7" t="s">
        <v>653</v>
      </c>
      <c r="J72" s="7" t="s">
        <v>654</v>
      </c>
      <c r="K72" s="7" t="s">
        <v>655</v>
      </c>
    </row>
    <row r="73" customFormat="false" ht="26.85" hidden="false" customHeight="false" outlineLevel="0" collapsed="false">
      <c r="A73" s="8" t="s">
        <v>656</v>
      </c>
      <c r="B73" s="10" t="s">
        <v>55</v>
      </c>
      <c r="C73" s="7" t="s">
        <v>657</v>
      </c>
      <c r="D73" s="7" t="s">
        <v>658</v>
      </c>
      <c r="E73" s="7" t="s">
        <v>659</v>
      </c>
      <c r="F73" s="7" t="s">
        <v>660</v>
      </c>
      <c r="G73" s="7" t="s">
        <v>661</v>
      </c>
      <c r="H73" s="8" t="s">
        <v>84</v>
      </c>
      <c r="I73" s="7" t="s">
        <v>662</v>
      </c>
      <c r="J73" s="7" t="s">
        <v>663</v>
      </c>
      <c r="K73" s="7" t="s">
        <v>659</v>
      </c>
    </row>
    <row r="74" customFormat="false" ht="26.85" hidden="false" customHeight="false" outlineLevel="0" collapsed="false">
      <c r="A74" s="8" t="s">
        <v>664</v>
      </c>
      <c r="B74" s="10" t="s">
        <v>55</v>
      </c>
      <c r="C74" s="7" t="s">
        <v>665</v>
      </c>
      <c r="D74" s="7" t="s">
        <v>666</v>
      </c>
      <c r="E74" s="7" t="s">
        <v>667</v>
      </c>
      <c r="F74" s="7" t="s">
        <v>668</v>
      </c>
      <c r="G74" s="8" t="s">
        <v>103</v>
      </c>
      <c r="H74" s="7" t="s">
        <v>128</v>
      </c>
      <c r="I74" s="7" t="s">
        <v>669</v>
      </c>
      <c r="J74" s="7" t="s">
        <v>670</v>
      </c>
      <c r="K74" s="7" t="s">
        <v>671</v>
      </c>
    </row>
    <row r="75" customFormat="false" ht="15" hidden="false" customHeight="false" outlineLevel="0" collapsed="false">
      <c r="A75" s="8" t="s">
        <v>672</v>
      </c>
      <c r="B75" s="10" t="s">
        <v>55</v>
      </c>
      <c r="C75" s="7" t="s">
        <v>673</v>
      </c>
      <c r="D75" s="7" t="s">
        <v>674</v>
      </c>
      <c r="E75" s="7" t="s">
        <v>675</v>
      </c>
      <c r="F75" s="8" t="s">
        <v>676</v>
      </c>
      <c r="G75" s="8" t="s">
        <v>103</v>
      </c>
      <c r="H75" s="8" t="s">
        <v>84</v>
      </c>
      <c r="I75" s="7" t="s">
        <v>677</v>
      </c>
      <c r="J75" s="7" t="s">
        <v>678</v>
      </c>
      <c r="K75" s="7" t="s">
        <v>679</v>
      </c>
    </row>
    <row r="76" customFormat="false" ht="15" hidden="false" customHeight="false" outlineLevel="0" collapsed="false">
      <c r="A76" s="8" t="s">
        <v>680</v>
      </c>
      <c r="B76" s="10" t="s">
        <v>55</v>
      </c>
      <c r="C76" s="7" t="s">
        <v>681</v>
      </c>
      <c r="D76" s="7" t="s">
        <v>682</v>
      </c>
      <c r="E76" s="7" t="s">
        <v>683</v>
      </c>
      <c r="F76" s="7" t="s">
        <v>684</v>
      </c>
      <c r="G76" s="8" t="s">
        <v>103</v>
      </c>
      <c r="H76" s="8" t="s">
        <v>94</v>
      </c>
      <c r="I76" s="7" t="s">
        <v>685</v>
      </c>
      <c r="J76" s="7" t="s">
        <v>686</v>
      </c>
      <c r="K76" s="7" t="s">
        <v>687</v>
      </c>
    </row>
    <row r="77" customFormat="false" ht="15" hidden="false" customHeight="false" outlineLevel="0" collapsed="false">
      <c r="A77" s="8" t="s">
        <v>688</v>
      </c>
      <c r="B77" s="10" t="s">
        <v>55</v>
      </c>
      <c r="C77" s="7" t="s">
        <v>689</v>
      </c>
      <c r="D77" s="7" t="s">
        <v>690</v>
      </c>
      <c r="E77" s="7" t="s">
        <v>691</v>
      </c>
      <c r="F77" s="7" t="s">
        <v>692</v>
      </c>
      <c r="G77" s="7" t="s">
        <v>581</v>
      </c>
      <c r="H77" s="8" t="s">
        <v>84</v>
      </c>
      <c r="I77" s="7" t="s">
        <v>693</v>
      </c>
      <c r="J77" s="7" t="s">
        <v>694</v>
      </c>
      <c r="K77" s="7" t="s">
        <v>695</v>
      </c>
    </row>
    <row r="78" customFormat="false" ht="26.85" hidden="false" customHeight="false" outlineLevel="0" collapsed="false">
      <c r="A78" s="8" t="s">
        <v>696</v>
      </c>
      <c r="B78" s="10" t="s">
        <v>55</v>
      </c>
      <c r="C78" s="7" t="s">
        <v>697</v>
      </c>
      <c r="D78" s="7" t="s">
        <v>698</v>
      </c>
      <c r="E78" s="8" t="s">
        <v>699</v>
      </c>
      <c r="F78" s="7" t="s">
        <v>700</v>
      </c>
      <c r="G78" s="7" t="s">
        <v>128</v>
      </c>
      <c r="H78" s="7" t="s">
        <v>128</v>
      </c>
      <c r="I78" s="7" t="s">
        <v>701</v>
      </c>
      <c r="J78" s="7" t="s">
        <v>702</v>
      </c>
      <c r="K78" s="8" t="s">
        <v>703</v>
      </c>
    </row>
    <row r="79" customFormat="false" ht="26.85" hidden="false" customHeight="false" outlineLevel="0" collapsed="false">
      <c r="A79" s="8" t="s">
        <v>704</v>
      </c>
      <c r="B79" s="11" t="s">
        <v>59</v>
      </c>
      <c r="C79" s="7" t="s">
        <v>705</v>
      </c>
      <c r="D79" s="7" t="s">
        <v>706</v>
      </c>
      <c r="E79" s="7" t="s">
        <v>707</v>
      </c>
      <c r="F79" s="7" t="s">
        <v>708</v>
      </c>
      <c r="G79" s="8" t="s">
        <v>84</v>
      </c>
      <c r="H79" s="7" t="s">
        <v>85</v>
      </c>
      <c r="I79" s="7" t="s">
        <v>709</v>
      </c>
      <c r="J79" s="7" t="s">
        <v>710</v>
      </c>
      <c r="K79" s="7" t="s">
        <v>711</v>
      </c>
    </row>
    <row r="80" customFormat="false" ht="26.85" hidden="false" customHeight="false" outlineLevel="0" collapsed="false">
      <c r="A80" s="8" t="s">
        <v>712</v>
      </c>
      <c r="B80" s="11" t="s">
        <v>59</v>
      </c>
      <c r="C80" s="7" t="s">
        <v>713</v>
      </c>
      <c r="D80" s="7" t="s">
        <v>714</v>
      </c>
      <c r="E80" s="7" t="s">
        <v>715</v>
      </c>
      <c r="F80" s="7" t="s">
        <v>716</v>
      </c>
      <c r="G80" s="8" t="s">
        <v>84</v>
      </c>
      <c r="H80" s="7" t="s">
        <v>128</v>
      </c>
      <c r="I80" s="7" t="s">
        <v>717</v>
      </c>
      <c r="J80" s="7" t="s">
        <v>718</v>
      </c>
      <c r="K80" s="7" t="s">
        <v>719</v>
      </c>
    </row>
    <row r="81" customFormat="false" ht="26.85" hidden="false" customHeight="false" outlineLevel="0" collapsed="false">
      <c r="A81" s="8" t="s">
        <v>720</v>
      </c>
      <c r="B81" s="11" t="s">
        <v>59</v>
      </c>
      <c r="C81" s="7" t="s">
        <v>721</v>
      </c>
      <c r="D81" s="7" t="s">
        <v>722</v>
      </c>
      <c r="E81" s="7" t="s">
        <v>723</v>
      </c>
      <c r="F81" s="7" t="s">
        <v>724</v>
      </c>
      <c r="G81" s="8" t="s">
        <v>84</v>
      </c>
      <c r="H81" s="8" t="s">
        <v>94</v>
      </c>
      <c r="I81" s="7" t="s">
        <v>725</v>
      </c>
      <c r="J81" s="7" t="s">
        <v>726</v>
      </c>
      <c r="K81" s="7" t="s">
        <v>727</v>
      </c>
    </row>
    <row r="82" customFormat="false" ht="26.85" hidden="false" customHeight="false" outlineLevel="0" collapsed="false">
      <c r="A82" s="8" t="s">
        <v>728</v>
      </c>
      <c r="B82" s="11" t="s">
        <v>59</v>
      </c>
      <c r="C82" s="7" t="s">
        <v>729</v>
      </c>
      <c r="D82" s="7" t="s">
        <v>730</v>
      </c>
      <c r="E82" s="7" t="s">
        <v>731</v>
      </c>
      <c r="F82" s="7" t="s">
        <v>732</v>
      </c>
      <c r="G82" s="7" t="s">
        <v>733</v>
      </c>
      <c r="H82" s="8" t="s">
        <v>84</v>
      </c>
      <c r="I82" s="7" t="s">
        <v>734</v>
      </c>
      <c r="J82" s="7" t="s">
        <v>735</v>
      </c>
      <c r="K82" s="7" t="s">
        <v>736</v>
      </c>
    </row>
    <row r="83" customFormat="false" ht="26.85" hidden="false" customHeight="false" outlineLevel="0" collapsed="false">
      <c r="A83" s="8" t="s">
        <v>737</v>
      </c>
      <c r="B83" s="11" t="s">
        <v>59</v>
      </c>
      <c r="C83" s="7" t="s">
        <v>738</v>
      </c>
      <c r="D83" s="7" t="s">
        <v>739</v>
      </c>
      <c r="E83" s="7" t="s">
        <v>740</v>
      </c>
      <c r="F83" s="7" t="s">
        <v>741</v>
      </c>
      <c r="G83" s="8" t="s">
        <v>481</v>
      </c>
      <c r="H83" s="8" t="s">
        <v>94</v>
      </c>
      <c r="I83" s="7" t="s">
        <v>742</v>
      </c>
      <c r="J83" s="7" t="s">
        <v>743</v>
      </c>
      <c r="K83" s="7" t="s">
        <v>744</v>
      </c>
    </row>
    <row r="84" customFormat="false" ht="15" hidden="false" customHeight="false" outlineLevel="0" collapsed="false">
      <c r="A84" s="8" t="s">
        <v>745</v>
      </c>
      <c r="B84" s="11" t="s">
        <v>59</v>
      </c>
      <c r="C84" s="7" t="s">
        <v>746</v>
      </c>
      <c r="D84" s="7" t="s">
        <v>747</v>
      </c>
      <c r="E84" s="7" t="s">
        <v>748</v>
      </c>
      <c r="F84" s="7" t="s">
        <v>749</v>
      </c>
      <c r="G84" s="8" t="s">
        <v>750</v>
      </c>
      <c r="H84" s="7" t="s">
        <v>128</v>
      </c>
      <c r="I84" s="7" t="s">
        <v>751</v>
      </c>
      <c r="J84" s="7" t="s">
        <v>752</v>
      </c>
      <c r="K84" s="7" t="s">
        <v>753</v>
      </c>
    </row>
    <row r="85" customFormat="false" ht="15" hidden="false" customHeight="false" outlineLevel="0" collapsed="false">
      <c r="A85" s="8" t="s">
        <v>754</v>
      </c>
      <c r="B85" s="11" t="s">
        <v>59</v>
      </c>
      <c r="C85" s="7" t="s">
        <v>755</v>
      </c>
      <c r="D85" s="7" t="s">
        <v>756</v>
      </c>
      <c r="E85" s="7" t="s">
        <v>757</v>
      </c>
      <c r="F85" s="7" t="s">
        <v>758</v>
      </c>
      <c r="G85" s="8" t="s">
        <v>84</v>
      </c>
      <c r="H85" s="7" t="s">
        <v>85</v>
      </c>
      <c r="I85" s="7" t="s">
        <v>759</v>
      </c>
      <c r="J85" s="7" t="s">
        <v>760</v>
      </c>
      <c r="K85" s="7" t="s">
        <v>761</v>
      </c>
    </row>
    <row r="86" customFormat="false" ht="26.85" hidden="false" customHeight="false" outlineLevel="0" collapsed="false">
      <c r="A86" s="8" t="s">
        <v>762</v>
      </c>
      <c r="B86" s="11" t="s">
        <v>59</v>
      </c>
      <c r="C86" s="7" t="s">
        <v>763</v>
      </c>
      <c r="D86" s="7" t="s">
        <v>764</v>
      </c>
      <c r="E86" s="7" t="s">
        <v>765</v>
      </c>
      <c r="F86" s="7" t="s">
        <v>766</v>
      </c>
      <c r="G86" s="8" t="s">
        <v>84</v>
      </c>
      <c r="H86" s="8" t="s">
        <v>94</v>
      </c>
      <c r="I86" s="7" t="s">
        <v>767</v>
      </c>
      <c r="J86" s="7" t="s">
        <v>768</v>
      </c>
      <c r="K86" s="7" t="s">
        <v>769</v>
      </c>
    </row>
    <row r="87" customFormat="false" ht="26.85" hidden="false" customHeight="false" outlineLevel="0" collapsed="false">
      <c r="A87" s="8" t="s">
        <v>770</v>
      </c>
      <c r="B87" s="12" t="s">
        <v>63</v>
      </c>
      <c r="C87" s="7" t="s">
        <v>771</v>
      </c>
      <c r="D87" s="7" t="s">
        <v>772</v>
      </c>
      <c r="E87" s="7" t="s">
        <v>773</v>
      </c>
      <c r="F87" s="7" t="s">
        <v>774</v>
      </c>
      <c r="G87" s="8" t="s">
        <v>103</v>
      </c>
      <c r="H87" s="8" t="s">
        <v>84</v>
      </c>
      <c r="I87" s="7" t="s">
        <v>775</v>
      </c>
      <c r="J87" s="7" t="s">
        <v>776</v>
      </c>
      <c r="K87" s="7" t="s">
        <v>777</v>
      </c>
    </row>
    <row r="88" customFormat="false" ht="26.85" hidden="false" customHeight="false" outlineLevel="0" collapsed="false">
      <c r="A88" s="8" t="s">
        <v>778</v>
      </c>
      <c r="B88" s="12" t="s">
        <v>63</v>
      </c>
      <c r="C88" s="7" t="s">
        <v>779</v>
      </c>
      <c r="D88" s="7" t="s">
        <v>780</v>
      </c>
      <c r="E88" s="7" t="s">
        <v>781</v>
      </c>
      <c r="F88" s="7" t="s">
        <v>782</v>
      </c>
      <c r="G88" s="8" t="s">
        <v>84</v>
      </c>
      <c r="H88" s="7" t="s">
        <v>128</v>
      </c>
      <c r="I88" s="7" t="s">
        <v>783</v>
      </c>
      <c r="J88" s="7" t="s">
        <v>784</v>
      </c>
      <c r="K88" s="7" t="s">
        <v>785</v>
      </c>
    </row>
    <row r="89" customFormat="false" ht="15" hidden="false" customHeight="false" outlineLevel="0" collapsed="false">
      <c r="A89" s="8" t="s">
        <v>786</v>
      </c>
      <c r="B89" s="12" t="s">
        <v>63</v>
      </c>
      <c r="C89" s="8" t="s">
        <v>787</v>
      </c>
      <c r="D89" s="7" t="s">
        <v>788</v>
      </c>
      <c r="E89" s="8" t="s">
        <v>789</v>
      </c>
      <c r="F89" s="7" t="s">
        <v>790</v>
      </c>
      <c r="G89" s="8" t="s">
        <v>103</v>
      </c>
      <c r="H89" s="8" t="s">
        <v>94</v>
      </c>
      <c r="I89" s="7" t="s">
        <v>791</v>
      </c>
      <c r="J89" s="7" t="s">
        <v>792</v>
      </c>
      <c r="K89" s="8" t="s">
        <v>789</v>
      </c>
    </row>
    <row r="90" customFormat="false" ht="26.85" hidden="false" customHeight="false" outlineLevel="0" collapsed="false">
      <c r="A90" s="8" t="s">
        <v>793</v>
      </c>
      <c r="B90" s="12" t="s">
        <v>63</v>
      </c>
      <c r="C90" s="7" t="s">
        <v>794</v>
      </c>
      <c r="D90" s="7" t="s">
        <v>795</v>
      </c>
      <c r="E90" s="7" t="s">
        <v>796</v>
      </c>
      <c r="F90" s="7" t="s">
        <v>797</v>
      </c>
      <c r="G90" s="8" t="s">
        <v>103</v>
      </c>
      <c r="H90" s="8" t="s">
        <v>84</v>
      </c>
      <c r="I90" s="7" t="s">
        <v>798</v>
      </c>
      <c r="J90" s="7" t="s">
        <v>799</v>
      </c>
      <c r="K90" s="7" t="s">
        <v>800</v>
      </c>
    </row>
    <row r="91" customFormat="false" ht="26.85" hidden="false" customHeight="false" outlineLevel="0" collapsed="false">
      <c r="A91" s="8" t="s">
        <v>801</v>
      </c>
      <c r="B91" s="12" t="s">
        <v>63</v>
      </c>
      <c r="C91" s="7" t="s">
        <v>802</v>
      </c>
      <c r="D91" s="7" t="s">
        <v>803</v>
      </c>
      <c r="E91" s="7" t="s">
        <v>804</v>
      </c>
      <c r="F91" s="7" t="s">
        <v>805</v>
      </c>
      <c r="G91" s="7" t="s">
        <v>85</v>
      </c>
      <c r="H91" s="8" t="s">
        <v>94</v>
      </c>
      <c r="I91" s="7" t="s">
        <v>806</v>
      </c>
      <c r="J91" s="7" t="s">
        <v>807</v>
      </c>
      <c r="K91" s="7" t="s">
        <v>808</v>
      </c>
    </row>
    <row r="92" customFormat="false" ht="39.55" hidden="false" customHeight="false" outlineLevel="0" collapsed="false">
      <c r="A92" s="8" t="s">
        <v>809</v>
      </c>
      <c r="B92" s="12" t="s">
        <v>63</v>
      </c>
      <c r="C92" s="7" t="s">
        <v>810</v>
      </c>
      <c r="D92" s="7" t="s">
        <v>811</v>
      </c>
      <c r="E92" s="7" t="s">
        <v>812</v>
      </c>
      <c r="F92" s="7" t="s">
        <v>813</v>
      </c>
      <c r="G92" s="8" t="s">
        <v>84</v>
      </c>
      <c r="H92" s="7" t="s">
        <v>128</v>
      </c>
      <c r="I92" s="7" t="s">
        <v>814</v>
      </c>
      <c r="J92" s="7" t="s">
        <v>815</v>
      </c>
      <c r="K92" s="7" t="s">
        <v>816</v>
      </c>
    </row>
    <row r="93" customFormat="false" ht="26.85" hidden="false" customHeight="false" outlineLevel="0" collapsed="false">
      <c r="A93" s="8" t="s">
        <v>817</v>
      </c>
      <c r="B93" s="12" t="s">
        <v>63</v>
      </c>
      <c r="C93" s="7" t="s">
        <v>818</v>
      </c>
      <c r="D93" s="7" t="s">
        <v>819</v>
      </c>
      <c r="E93" s="7" t="s">
        <v>820</v>
      </c>
      <c r="F93" s="8" t="s">
        <v>821</v>
      </c>
      <c r="G93" s="8" t="s">
        <v>103</v>
      </c>
      <c r="H93" s="7" t="s">
        <v>85</v>
      </c>
      <c r="I93" s="8" t="s">
        <v>822</v>
      </c>
      <c r="J93" s="7" t="s">
        <v>823</v>
      </c>
      <c r="K93" s="7" t="s">
        <v>824</v>
      </c>
    </row>
    <row r="94" customFormat="false" ht="26.85" hidden="false" customHeight="false" outlineLevel="0" collapsed="false">
      <c r="A94" s="8" t="s">
        <v>825</v>
      </c>
      <c r="B94" s="12" t="s">
        <v>63</v>
      </c>
      <c r="C94" s="7" t="s">
        <v>826</v>
      </c>
      <c r="D94" s="7" t="s">
        <v>827</v>
      </c>
      <c r="E94" s="7" t="s">
        <v>828</v>
      </c>
      <c r="F94" s="7" t="s">
        <v>829</v>
      </c>
      <c r="G94" s="8" t="s">
        <v>84</v>
      </c>
      <c r="H94" s="8" t="s">
        <v>94</v>
      </c>
      <c r="I94" s="7" t="s">
        <v>830</v>
      </c>
      <c r="J94" s="7" t="s">
        <v>831</v>
      </c>
      <c r="K94" s="7" t="s">
        <v>832</v>
      </c>
    </row>
    <row r="95" customFormat="false" ht="15" hidden="false" customHeight="false" outlineLevel="0" collapsed="false">
      <c r="A95" s="8" t="s">
        <v>833</v>
      </c>
      <c r="B95" s="12" t="s">
        <v>63</v>
      </c>
      <c r="C95" s="7" t="s">
        <v>834</v>
      </c>
      <c r="D95" s="7" t="s">
        <v>835</v>
      </c>
      <c r="E95" s="7" t="s">
        <v>836</v>
      </c>
      <c r="F95" s="7" t="s">
        <v>837</v>
      </c>
      <c r="G95" s="8" t="s">
        <v>84</v>
      </c>
      <c r="H95" s="8" t="s">
        <v>94</v>
      </c>
      <c r="I95" s="7" t="s">
        <v>838</v>
      </c>
      <c r="J95" s="7" t="s">
        <v>839</v>
      </c>
      <c r="K95" s="7" t="s">
        <v>840</v>
      </c>
    </row>
  </sheetData>
  <autoFilter ref="A1:K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6" min="5" style="0" width="16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30" hidden="false" customHeight="true" outlineLevel="0" collapsed="false">
      <c r="A1" s="5" t="s">
        <v>841</v>
      </c>
      <c r="B1" s="5" t="s">
        <v>19</v>
      </c>
      <c r="C1" s="5" t="s">
        <v>20</v>
      </c>
      <c r="D1" s="5" t="s">
        <v>842</v>
      </c>
      <c r="E1" s="5" t="s">
        <v>843</v>
      </c>
      <c r="F1" s="5" t="s">
        <v>75</v>
      </c>
      <c r="G1" s="5" t="s">
        <v>844</v>
      </c>
      <c r="H1" s="5" t="s">
        <v>845</v>
      </c>
      <c r="I1" s="5" t="s">
        <v>846</v>
      </c>
    </row>
    <row r="2" customFormat="false" ht="15" hidden="false" customHeight="false" outlineLevel="0" collapsed="false">
      <c r="A2" s="7" t="s">
        <v>82</v>
      </c>
      <c r="B2" s="6" t="s">
        <v>26</v>
      </c>
      <c r="C2" s="7" t="s">
        <v>847</v>
      </c>
      <c r="D2" s="7" t="s">
        <v>848</v>
      </c>
      <c r="E2" s="8" t="s">
        <v>84</v>
      </c>
      <c r="F2" s="7" t="s">
        <v>85</v>
      </c>
      <c r="G2" s="7" t="s">
        <v>849</v>
      </c>
      <c r="H2" s="7" t="s">
        <v>850</v>
      </c>
      <c r="I2" s="9" t="n">
        <f aca="false">COUNTIF(タスク一覧!$E:$E,A2)</f>
        <v>1</v>
      </c>
    </row>
    <row r="3" customFormat="false" ht="15" hidden="false" customHeight="false" outlineLevel="0" collapsed="false">
      <c r="A3" s="7" t="s">
        <v>92</v>
      </c>
      <c r="B3" s="6" t="s">
        <v>26</v>
      </c>
      <c r="C3" s="7" t="s">
        <v>851</v>
      </c>
      <c r="D3" s="7" t="s">
        <v>852</v>
      </c>
      <c r="E3" s="8" t="s">
        <v>84</v>
      </c>
      <c r="F3" s="8" t="s">
        <v>94</v>
      </c>
      <c r="G3" s="7" t="s">
        <v>853</v>
      </c>
      <c r="H3" s="7" t="s">
        <v>97</v>
      </c>
      <c r="I3" s="9" t="n">
        <f aca="false">COUNTIF(タスク一覧!$E:$E,A3)</f>
        <v>1</v>
      </c>
    </row>
    <row r="4" customFormat="false" ht="15" hidden="false" customHeight="false" outlineLevel="0" collapsed="false">
      <c r="A4" s="7" t="s">
        <v>101</v>
      </c>
      <c r="B4" s="6" t="s">
        <v>26</v>
      </c>
      <c r="C4" s="7" t="s">
        <v>854</v>
      </c>
      <c r="D4" s="7" t="s">
        <v>855</v>
      </c>
      <c r="E4" s="8" t="s">
        <v>103</v>
      </c>
      <c r="F4" s="8" t="s">
        <v>94</v>
      </c>
      <c r="G4" s="7" t="s">
        <v>856</v>
      </c>
      <c r="H4" s="8" t="s">
        <v>857</v>
      </c>
      <c r="I4" s="9" t="n">
        <f aca="false">COUNTIF(タスク一覧!$E:$E,A4)</f>
        <v>1</v>
      </c>
    </row>
    <row r="5" customFormat="false" ht="15" hidden="false" customHeight="false" outlineLevel="0" collapsed="false">
      <c r="A5" s="7" t="s">
        <v>110</v>
      </c>
      <c r="B5" s="6" t="s">
        <v>26</v>
      </c>
      <c r="C5" s="7" t="s">
        <v>858</v>
      </c>
      <c r="D5" s="7" t="s">
        <v>859</v>
      </c>
      <c r="E5" s="8" t="s">
        <v>103</v>
      </c>
      <c r="F5" s="8" t="s">
        <v>94</v>
      </c>
      <c r="G5" s="7" t="s">
        <v>860</v>
      </c>
      <c r="H5" s="7" t="s">
        <v>114</v>
      </c>
      <c r="I5" s="9" t="n">
        <f aca="false">COUNTIF(タスク一覧!$E:$E,A5)</f>
        <v>1</v>
      </c>
    </row>
    <row r="6" customFormat="false" ht="15" hidden="false" customHeight="false" outlineLevel="0" collapsed="false">
      <c r="A6" s="7" t="s">
        <v>118</v>
      </c>
      <c r="B6" s="6" t="s">
        <v>26</v>
      </c>
      <c r="C6" s="7" t="s">
        <v>861</v>
      </c>
      <c r="D6" s="7" t="s">
        <v>862</v>
      </c>
      <c r="E6" s="8" t="s">
        <v>103</v>
      </c>
      <c r="F6" s="8" t="s">
        <v>94</v>
      </c>
      <c r="G6" s="7" t="s">
        <v>863</v>
      </c>
      <c r="H6" s="7" t="s">
        <v>864</v>
      </c>
      <c r="I6" s="9" t="n">
        <f aca="false">COUNTIF(タスク一覧!$E:$E,A6)</f>
        <v>1</v>
      </c>
    </row>
    <row r="7" customFormat="false" ht="15" hidden="false" customHeight="false" outlineLevel="0" collapsed="false">
      <c r="A7" s="7" t="s">
        <v>126</v>
      </c>
      <c r="B7" s="6" t="s">
        <v>26</v>
      </c>
      <c r="C7" s="7" t="s">
        <v>865</v>
      </c>
      <c r="D7" s="7" t="s">
        <v>866</v>
      </c>
      <c r="E7" s="8" t="s">
        <v>103</v>
      </c>
      <c r="F7" s="7" t="s">
        <v>128</v>
      </c>
      <c r="G7" s="7" t="s">
        <v>867</v>
      </c>
      <c r="H7" s="7" t="s">
        <v>131</v>
      </c>
      <c r="I7" s="9" t="n">
        <f aca="false">COUNTIF(タスク一覧!$E:$E,A7)</f>
        <v>1</v>
      </c>
    </row>
    <row r="8" customFormat="false" ht="15" hidden="false" customHeight="false" outlineLevel="0" collapsed="false">
      <c r="A8" s="7" t="s">
        <v>135</v>
      </c>
      <c r="B8" s="6" t="s">
        <v>26</v>
      </c>
      <c r="C8" s="7" t="s">
        <v>868</v>
      </c>
      <c r="D8" s="7" t="s">
        <v>869</v>
      </c>
      <c r="E8" s="8" t="s">
        <v>103</v>
      </c>
      <c r="F8" s="8" t="s">
        <v>94</v>
      </c>
      <c r="G8" s="7" t="s">
        <v>863</v>
      </c>
      <c r="H8" s="7" t="s">
        <v>870</v>
      </c>
      <c r="I8" s="9" t="n">
        <f aca="false">COUNTIF(タスク一覧!$E:$E,A8)</f>
        <v>1</v>
      </c>
    </row>
    <row r="9" customFormat="false" ht="15" hidden="false" customHeight="false" outlineLevel="0" collapsed="false">
      <c r="A9" s="8" t="s">
        <v>143</v>
      </c>
      <c r="B9" s="6" t="s">
        <v>26</v>
      </c>
      <c r="C9" s="7" t="s">
        <v>871</v>
      </c>
      <c r="D9" s="7" t="s">
        <v>872</v>
      </c>
      <c r="E9" s="8" t="s">
        <v>103</v>
      </c>
      <c r="F9" s="8" t="s">
        <v>94</v>
      </c>
      <c r="G9" s="7" t="s">
        <v>873</v>
      </c>
      <c r="H9" s="7" t="s">
        <v>874</v>
      </c>
      <c r="I9" s="9" t="n">
        <f aca="false">COUNTIF(タスク一覧!$E:$E,A9)</f>
        <v>1</v>
      </c>
    </row>
    <row r="10" customFormat="false" ht="15" hidden="false" customHeight="false" outlineLevel="0" collapsed="false">
      <c r="A10" s="7" t="s">
        <v>151</v>
      </c>
      <c r="B10" s="6" t="s">
        <v>26</v>
      </c>
      <c r="C10" s="7" t="s">
        <v>875</v>
      </c>
      <c r="D10" s="7" t="s">
        <v>876</v>
      </c>
      <c r="E10" s="8" t="s">
        <v>103</v>
      </c>
      <c r="F10" s="8" t="s">
        <v>94</v>
      </c>
      <c r="G10" s="7" t="s">
        <v>877</v>
      </c>
      <c r="H10" s="7" t="s">
        <v>878</v>
      </c>
      <c r="I10" s="9" t="n">
        <f aca="false">COUNTIF(タスク一覧!$E:$E,A10)</f>
        <v>1</v>
      </c>
    </row>
    <row r="11" customFormat="false" ht="15" hidden="false" customHeight="false" outlineLevel="0" collapsed="false">
      <c r="A11" s="7" t="s">
        <v>159</v>
      </c>
      <c r="B11" s="6" t="s">
        <v>26</v>
      </c>
      <c r="C11" s="7" t="s">
        <v>879</v>
      </c>
      <c r="D11" s="7" t="s">
        <v>880</v>
      </c>
      <c r="E11" s="8" t="s">
        <v>103</v>
      </c>
      <c r="F11" s="8" t="s">
        <v>94</v>
      </c>
      <c r="G11" s="7" t="s">
        <v>863</v>
      </c>
      <c r="H11" s="7" t="s">
        <v>163</v>
      </c>
      <c r="I11" s="9" t="n">
        <f aca="false">COUNTIF(タスク一覧!$E:$E,A11)</f>
        <v>1</v>
      </c>
    </row>
    <row r="12" customFormat="false" ht="15" hidden="false" customHeight="false" outlineLevel="0" collapsed="false">
      <c r="A12" s="7" t="s">
        <v>167</v>
      </c>
      <c r="B12" s="6" t="s">
        <v>26</v>
      </c>
      <c r="C12" s="7" t="s">
        <v>881</v>
      </c>
      <c r="D12" s="7" t="s">
        <v>882</v>
      </c>
      <c r="E12" s="8" t="s">
        <v>103</v>
      </c>
      <c r="F12" s="7" t="s">
        <v>128</v>
      </c>
      <c r="G12" s="7" t="s">
        <v>863</v>
      </c>
      <c r="H12" s="7" t="s">
        <v>171</v>
      </c>
      <c r="I12" s="9" t="n">
        <f aca="false">COUNTIF(タスク一覧!$E:$E,A12)</f>
        <v>1</v>
      </c>
    </row>
    <row r="13" customFormat="false" ht="15" hidden="false" customHeight="false" outlineLevel="0" collapsed="false">
      <c r="A13" s="8" t="s">
        <v>175</v>
      </c>
      <c r="B13" s="6" t="s">
        <v>26</v>
      </c>
      <c r="C13" s="7" t="s">
        <v>883</v>
      </c>
      <c r="D13" s="7" t="s">
        <v>884</v>
      </c>
      <c r="E13" s="8" t="s">
        <v>84</v>
      </c>
      <c r="F13" s="7" t="s">
        <v>85</v>
      </c>
      <c r="G13" s="7" t="s">
        <v>885</v>
      </c>
      <c r="H13" s="7" t="s">
        <v>886</v>
      </c>
      <c r="I13" s="9" t="n">
        <f aca="false">COUNTIF(タスク一覧!$E:$E,A13)</f>
        <v>1</v>
      </c>
    </row>
    <row r="14" customFormat="false" ht="15" hidden="false" customHeight="false" outlineLevel="0" collapsed="false">
      <c r="A14" s="7" t="s">
        <v>183</v>
      </c>
      <c r="B14" s="10" t="s">
        <v>31</v>
      </c>
      <c r="C14" s="7" t="s">
        <v>887</v>
      </c>
      <c r="D14" s="7" t="s">
        <v>888</v>
      </c>
      <c r="E14" s="8" t="s">
        <v>84</v>
      </c>
      <c r="F14" s="8" t="s">
        <v>94</v>
      </c>
      <c r="G14" s="7" t="s">
        <v>889</v>
      </c>
      <c r="H14" s="7" t="s">
        <v>890</v>
      </c>
      <c r="I14" s="9" t="n">
        <f aca="false">COUNTIF(タスク一覧!$E:$E,A14)</f>
        <v>1</v>
      </c>
    </row>
    <row r="15" customFormat="false" ht="15" hidden="false" customHeight="false" outlineLevel="0" collapsed="false">
      <c r="A15" s="7" t="s">
        <v>191</v>
      </c>
      <c r="B15" s="10" t="s">
        <v>31</v>
      </c>
      <c r="C15" s="7" t="s">
        <v>891</v>
      </c>
      <c r="D15" s="7" t="s">
        <v>892</v>
      </c>
      <c r="E15" s="8" t="s">
        <v>84</v>
      </c>
      <c r="F15" s="8" t="s">
        <v>94</v>
      </c>
      <c r="G15" s="7" t="s">
        <v>889</v>
      </c>
      <c r="H15" s="7" t="s">
        <v>893</v>
      </c>
      <c r="I15" s="9" t="n">
        <f aca="false">COUNTIF(タスク一覧!$E:$E,A15)</f>
        <v>1</v>
      </c>
    </row>
    <row r="16" customFormat="false" ht="15" hidden="false" customHeight="false" outlineLevel="0" collapsed="false">
      <c r="A16" s="7" t="s">
        <v>199</v>
      </c>
      <c r="B16" s="10" t="s">
        <v>31</v>
      </c>
      <c r="C16" s="7" t="s">
        <v>894</v>
      </c>
      <c r="D16" s="7" t="s">
        <v>895</v>
      </c>
      <c r="E16" s="8" t="s">
        <v>84</v>
      </c>
      <c r="F16" s="8" t="s">
        <v>94</v>
      </c>
      <c r="G16" s="7" t="s">
        <v>889</v>
      </c>
      <c r="H16" s="7" t="s">
        <v>896</v>
      </c>
      <c r="I16" s="9" t="n">
        <f aca="false">COUNTIF(タスク一覧!$E:$E,A16)</f>
        <v>1</v>
      </c>
    </row>
    <row r="17" customFormat="false" ht="15" hidden="false" customHeight="false" outlineLevel="0" collapsed="false">
      <c r="A17" s="8" t="s">
        <v>207</v>
      </c>
      <c r="B17" s="10" t="s">
        <v>31</v>
      </c>
      <c r="C17" s="7" t="s">
        <v>897</v>
      </c>
      <c r="D17" s="7" t="s">
        <v>898</v>
      </c>
      <c r="E17" s="7" t="s">
        <v>128</v>
      </c>
      <c r="F17" s="7" t="s">
        <v>128</v>
      </c>
      <c r="G17" s="7" t="s">
        <v>899</v>
      </c>
      <c r="H17" s="8" t="s">
        <v>211</v>
      </c>
      <c r="I17" s="9" t="n">
        <f aca="false">COUNTIF(タスク一覧!$E:$E,A17)</f>
        <v>1</v>
      </c>
    </row>
    <row r="18" customFormat="false" ht="15" hidden="false" customHeight="false" outlineLevel="0" collapsed="false">
      <c r="A18" s="7" t="s">
        <v>215</v>
      </c>
      <c r="B18" s="10" t="s">
        <v>31</v>
      </c>
      <c r="C18" s="7" t="s">
        <v>900</v>
      </c>
      <c r="D18" s="8" t="s">
        <v>901</v>
      </c>
      <c r="E18" s="8" t="s">
        <v>84</v>
      </c>
      <c r="F18" s="7" t="s">
        <v>128</v>
      </c>
      <c r="G18" s="7" t="s">
        <v>902</v>
      </c>
      <c r="H18" s="8" t="s">
        <v>903</v>
      </c>
      <c r="I18" s="9" t="n">
        <f aca="false">COUNTIF(タスク一覧!$E:$E,A18)</f>
        <v>1</v>
      </c>
    </row>
    <row r="19" customFormat="false" ht="15" hidden="false" customHeight="false" outlineLevel="0" collapsed="false">
      <c r="A19" s="7" t="s">
        <v>223</v>
      </c>
      <c r="B19" s="10" t="s">
        <v>31</v>
      </c>
      <c r="C19" s="7" t="s">
        <v>904</v>
      </c>
      <c r="D19" s="7" t="s">
        <v>905</v>
      </c>
      <c r="E19" s="8" t="s">
        <v>84</v>
      </c>
      <c r="F19" s="7" t="s">
        <v>128</v>
      </c>
      <c r="G19" s="7" t="s">
        <v>906</v>
      </c>
      <c r="H19" s="7" t="s">
        <v>907</v>
      </c>
      <c r="I19" s="9" t="n">
        <f aca="false">COUNTIF(タスク一覧!$E:$E,A19)</f>
        <v>1</v>
      </c>
    </row>
    <row r="20" customFormat="false" ht="15" hidden="false" customHeight="false" outlineLevel="0" collapsed="false">
      <c r="A20" s="7" t="s">
        <v>231</v>
      </c>
      <c r="B20" s="10" t="s">
        <v>31</v>
      </c>
      <c r="C20" s="7" t="s">
        <v>908</v>
      </c>
      <c r="D20" s="7" t="s">
        <v>909</v>
      </c>
      <c r="E20" s="8" t="s">
        <v>84</v>
      </c>
      <c r="F20" s="7" t="s">
        <v>128</v>
      </c>
      <c r="G20" s="7" t="s">
        <v>902</v>
      </c>
      <c r="H20" s="7" t="s">
        <v>910</v>
      </c>
      <c r="I20" s="9" t="n">
        <f aca="false">COUNTIF(タスク一覧!$E:$E,A20)</f>
        <v>1</v>
      </c>
    </row>
    <row r="21" customFormat="false" ht="15" hidden="false" customHeight="false" outlineLevel="0" collapsed="false">
      <c r="A21" s="7" t="s">
        <v>239</v>
      </c>
      <c r="B21" s="10" t="s">
        <v>31</v>
      </c>
      <c r="C21" s="7" t="s">
        <v>911</v>
      </c>
      <c r="D21" s="7" t="s">
        <v>912</v>
      </c>
      <c r="E21" s="8" t="s">
        <v>84</v>
      </c>
      <c r="F21" s="8" t="s">
        <v>94</v>
      </c>
      <c r="G21" s="7" t="s">
        <v>913</v>
      </c>
      <c r="H21" s="7" t="s">
        <v>243</v>
      </c>
      <c r="I21" s="9" t="n">
        <f aca="false">COUNTIF(タスク一覧!$E:$E,A21)</f>
        <v>1</v>
      </c>
    </row>
    <row r="22" customFormat="false" ht="15" hidden="false" customHeight="false" outlineLevel="0" collapsed="false">
      <c r="A22" s="7" t="s">
        <v>247</v>
      </c>
      <c r="B22" s="10" t="s">
        <v>31</v>
      </c>
      <c r="C22" s="7" t="s">
        <v>914</v>
      </c>
      <c r="D22" s="7" t="s">
        <v>915</v>
      </c>
      <c r="E22" s="8" t="s">
        <v>84</v>
      </c>
      <c r="F22" s="8" t="s">
        <v>94</v>
      </c>
      <c r="G22" s="7" t="s">
        <v>916</v>
      </c>
      <c r="H22" s="7" t="s">
        <v>917</v>
      </c>
      <c r="I22" s="9" t="n">
        <f aca="false">COUNTIF(タスク一覧!$E:$E,A22)</f>
        <v>1</v>
      </c>
    </row>
    <row r="23" customFormat="false" ht="15" hidden="false" customHeight="false" outlineLevel="0" collapsed="false">
      <c r="A23" s="7" t="s">
        <v>255</v>
      </c>
      <c r="B23" s="10" t="s">
        <v>31</v>
      </c>
      <c r="C23" s="7" t="s">
        <v>918</v>
      </c>
      <c r="D23" s="7" t="s">
        <v>919</v>
      </c>
      <c r="E23" s="8" t="s">
        <v>84</v>
      </c>
      <c r="F23" s="8" t="s">
        <v>94</v>
      </c>
      <c r="G23" s="7" t="s">
        <v>920</v>
      </c>
      <c r="H23" s="7" t="s">
        <v>921</v>
      </c>
      <c r="I23" s="9" t="n">
        <f aca="false">COUNTIF(タスク一覧!$E:$E,A23)</f>
        <v>1</v>
      </c>
    </row>
    <row r="24" customFormat="false" ht="15" hidden="false" customHeight="false" outlineLevel="0" collapsed="false">
      <c r="A24" s="7" t="s">
        <v>263</v>
      </c>
      <c r="B24" s="10" t="s">
        <v>31</v>
      </c>
      <c r="C24" s="7" t="s">
        <v>922</v>
      </c>
      <c r="D24" s="7" t="s">
        <v>923</v>
      </c>
      <c r="E24" s="8" t="s">
        <v>84</v>
      </c>
      <c r="F24" s="7" t="s">
        <v>128</v>
      </c>
      <c r="G24" s="7" t="s">
        <v>924</v>
      </c>
      <c r="H24" s="7" t="s">
        <v>267</v>
      </c>
      <c r="I24" s="9" t="n">
        <f aca="false">COUNTIF(タスク一覧!$E:$E,A24)</f>
        <v>1</v>
      </c>
    </row>
    <row r="25" customFormat="false" ht="15" hidden="false" customHeight="false" outlineLevel="0" collapsed="false">
      <c r="A25" s="7" t="s">
        <v>271</v>
      </c>
      <c r="B25" s="10" t="s">
        <v>31</v>
      </c>
      <c r="C25" s="7" t="s">
        <v>925</v>
      </c>
      <c r="D25" s="7" t="s">
        <v>926</v>
      </c>
      <c r="E25" s="8" t="s">
        <v>84</v>
      </c>
      <c r="F25" s="7" t="s">
        <v>85</v>
      </c>
      <c r="G25" s="7" t="s">
        <v>927</v>
      </c>
      <c r="H25" s="8" t="s">
        <v>928</v>
      </c>
      <c r="I25" s="9" t="n">
        <f aca="false">COUNTIF(タスク一覧!$E:$E,A25)</f>
        <v>1</v>
      </c>
    </row>
    <row r="26" customFormat="false" ht="15" hidden="false" customHeight="false" outlineLevel="0" collapsed="false">
      <c r="A26" s="7" t="s">
        <v>279</v>
      </c>
      <c r="B26" s="10" t="s">
        <v>31</v>
      </c>
      <c r="C26" s="7" t="s">
        <v>929</v>
      </c>
      <c r="D26" s="7" t="s">
        <v>930</v>
      </c>
      <c r="E26" s="8" t="s">
        <v>84</v>
      </c>
      <c r="F26" s="7" t="s">
        <v>128</v>
      </c>
      <c r="G26" s="7" t="s">
        <v>902</v>
      </c>
      <c r="H26" s="7" t="s">
        <v>283</v>
      </c>
      <c r="I26" s="9" t="n">
        <f aca="false">COUNTIF(タスク一覧!$E:$E,A26)</f>
        <v>1</v>
      </c>
    </row>
    <row r="27" customFormat="false" ht="15" hidden="false" customHeight="false" outlineLevel="0" collapsed="false">
      <c r="A27" s="8" t="s">
        <v>287</v>
      </c>
      <c r="B27" s="10" t="s">
        <v>31</v>
      </c>
      <c r="C27" s="7" t="s">
        <v>931</v>
      </c>
      <c r="D27" s="8" t="s">
        <v>932</v>
      </c>
      <c r="E27" s="8" t="s">
        <v>84</v>
      </c>
      <c r="F27" s="7" t="s">
        <v>128</v>
      </c>
      <c r="G27" s="7" t="s">
        <v>933</v>
      </c>
      <c r="H27" s="8" t="s">
        <v>291</v>
      </c>
      <c r="I27" s="9" t="n">
        <f aca="false">COUNTIF(タスク一覧!$E:$E,A27)</f>
        <v>1</v>
      </c>
    </row>
    <row r="28" customFormat="false" ht="15" hidden="false" customHeight="false" outlineLevel="0" collapsed="false">
      <c r="A28" s="7" t="s">
        <v>295</v>
      </c>
      <c r="B28" s="10" t="s">
        <v>31</v>
      </c>
      <c r="C28" s="7" t="s">
        <v>934</v>
      </c>
      <c r="D28" s="7" t="s">
        <v>935</v>
      </c>
      <c r="E28" s="8" t="s">
        <v>84</v>
      </c>
      <c r="F28" s="7" t="s">
        <v>85</v>
      </c>
      <c r="G28" s="7" t="s">
        <v>936</v>
      </c>
      <c r="H28" s="8" t="s">
        <v>937</v>
      </c>
      <c r="I28" s="9" t="n">
        <f aca="false">COUNTIF(タスク一覧!$E:$E,A28)</f>
        <v>1</v>
      </c>
    </row>
    <row r="29" customFormat="false" ht="15" hidden="false" customHeight="false" outlineLevel="0" collapsed="false">
      <c r="A29" s="7" t="s">
        <v>303</v>
      </c>
      <c r="B29" s="10" t="s">
        <v>31</v>
      </c>
      <c r="C29" s="7" t="s">
        <v>938</v>
      </c>
      <c r="D29" s="7" t="s">
        <v>939</v>
      </c>
      <c r="E29" s="8" t="s">
        <v>84</v>
      </c>
      <c r="F29" s="7" t="s">
        <v>85</v>
      </c>
      <c r="G29" s="7" t="s">
        <v>940</v>
      </c>
      <c r="H29" s="7" t="s">
        <v>941</v>
      </c>
      <c r="I29" s="9" t="n">
        <f aca="false">COUNTIF(タスク一覧!$E:$E,A29)</f>
        <v>1</v>
      </c>
    </row>
    <row r="30" customFormat="false" ht="15" hidden="false" customHeight="false" outlineLevel="0" collapsed="false">
      <c r="A30" s="7" t="s">
        <v>311</v>
      </c>
      <c r="B30" s="10" t="s">
        <v>31</v>
      </c>
      <c r="C30" s="7" t="s">
        <v>942</v>
      </c>
      <c r="D30" s="7" t="s">
        <v>943</v>
      </c>
      <c r="E30" s="8" t="s">
        <v>84</v>
      </c>
      <c r="F30" s="7" t="s">
        <v>85</v>
      </c>
      <c r="G30" s="7" t="s">
        <v>902</v>
      </c>
      <c r="H30" s="7" t="s">
        <v>315</v>
      </c>
      <c r="I30" s="9" t="n">
        <f aca="false">COUNTIF(タスク一覧!$E:$E,A30)</f>
        <v>1</v>
      </c>
    </row>
    <row r="31" customFormat="false" ht="15" hidden="false" customHeight="false" outlineLevel="0" collapsed="false">
      <c r="A31" s="7" t="s">
        <v>319</v>
      </c>
      <c r="B31" s="10" t="s">
        <v>31</v>
      </c>
      <c r="C31" s="7" t="s">
        <v>944</v>
      </c>
      <c r="D31" s="7" t="s">
        <v>945</v>
      </c>
      <c r="E31" s="8" t="s">
        <v>84</v>
      </c>
      <c r="F31" s="8" t="s">
        <v>94</v>
      </c>
      <c r="G31" s="7" t="s">
        <v>946</v>
      </c>
      <c r="H31" s="7" t="s">
        <v>323</v>
      </c>
      <c r="I31" s="9" t="n">
        <f aca="false">COUNTIF(タスク一覧!$E:$E,A31)</f>
        <v>1</v>
      </c>
    </row>
    <row r="32" customFormat="false" ht="26.85" hidden="false" customHeight="false" outlineLevel="0" collapsed="false">
      <c r="A32" s="7" t="s">
        <v>327</v>
      </c>
      <c r="B32" s="10" t="s">
        <v>31</v>
      </c>
      <c r="C32" s="7" t="s">
        <v>947</v>
      </c>
      <c r="D32" s="7" t="s">
        <v>948</v>
      </c>
      <c r="E32" s="8" t="s">
        <v>84</v>
      </c>
      <c r="F32" s="7" t="s">
        <v>85</v>
      </c>
      <c r="G32" s="7" t="s">
        <v>949</v>
      </c>
      <c r="H32" s="7" t="s">
        <v>950</v>
      </c>
      <c r="I32" s="9" t="n">
        <f aca="false">COUNTIF(タスク一覧!$E:$E,A32)</f>
        <v>1</v>
      </c>
    </row>
    <row r="33" customFormat="false" ht="15" hidden="false" customHeight="false" outlineLevel="0" collapsed="false">
      <c r="A33" s="7" t="s">
        <v>335</v>
      </c>
      <c r="B33" s="10" t="s">
        <v>31</v>
      </c>
      <c r="C33" s="7" t="s">
        <v>951</v>
      </c>
      <c r="D33" s="7" t="s">
        <v>952</v>
      </c>
      <c r="E33" s="8" t="s">
        <v>84</v>
      </c>
      <c r="F33" s="7" t="s">
        <v>85</v>
      </c>
      <c r="G33" s="7" t="s">
        <v>953</v>
      </c>
      <c r="H33" s="7" t="s">
        <v>339</v>
      </c>
      <c r="I33" s="9" t="n">
        <f aca="false">COUNTIF(タスク一覧!$E:$E,A33)</f>
        <v>1</v>
      </c>
    </row>
    <row r="34" customFormat="false" ht="15" hidden="false" customHeight="false" outlineLevel="0" collapsed="false">
      <c r="A34" s="7" t="s">
        <v>343</v>
      </c>
      <c r="B34" s="10" t="s">
        <v>31</v>
      </c>
      <c r="C34" s="7" t="s">
        <v>954</v>
      </c>
      <c r="D34" s="7" t="s">
        <v>955</v>
      </c>
      <c r="E34" s="8" t="s">
        <v>84</v>
      </c>
      <c r="F34" s="7" t="s">
        <v>85</v>
      </c>
      <c r="G34" s="7" t="s">
        <v>953</v>
      </c>
      <c r="H34" s="7" t="s">
        <v>347</v>
      </c>
      <c r="I34" s="9" t="n">
        <f aca="false">COUNTIF(タスク一覧!$E:$E,A34)</f>
        <v>1</v>
      </c>
    </row>
    <row r="35" customFormat="false" ht="15" hidden="false" customHeight="false" outlineLevel="0" collapsed="false">
      <c r="A35" s="7" t="s">
        <v>351</v>
      </c>
      <c r="B35" s="11" t="s">
        <v>36</v>
      </c>
      <c r="C35" s="7" t="s">
        <v>956</v>
      </c>
      <c r="D35" s="7" t="s">
        <v>957</v>
      </c>
      <c r="E35" s="8" t="s">
        <v>84</v>
      </c>
      <c r="F35" s="8" t="s">
        <v>94</v>
      </c>
      <c r="G35" s="7" t="s">
        <v>958</v>
      </c>
      <c r="H35" s="7" t="s">
        <v>959</v>
      </c>
      <c r="I35" s="9" t="n">
        <f aca="false">COUNTIF(タスク一覧!$E:$E,A35)</f>
        <v>1</v>
      </c>
    </row>
    <row r="36" customFormat="false" ht="15" hidden="false" customHeight="false" outlineLevel="0" collapsed="false">
      <c r="A36" s="7" t="s">
        <v>359</v>
      </c>
      <c r="B36" s="11" t="s">
        <v>36</v>
      </c>
      <c r="C36" s="7" t="s">
        <v>960</v>
      </c>
      <c r="D36" s="7" t="s">
        <v>961</v>
      </c>
      <c r="E36" s="8" t="s">
        <v>84</v>
      </c>
      <c r="F36" s="7" t="s">
        <v>128</v>
      </c>
      <c r="G36" s="7" t="s">
        <v>962</v>
      </c>
      <c r="H36" s="7" t="s">
        <v>363</v>
      </c>
      <c r="I36" s="9" t="n">
        <f aca="false">COUNTIF(タスク一覧!$E:$E,A36)</f>
        <v>1</v>
      </c>
    </row>
    <row r="37" customFormat="false" ht="15" hidden="false" customHeight="false" outlineLevel="0" collapsed="false">
      <c r="A37" s="7" t="s">
        <v>367</v>
      </c>
      <c r="B37" s="11" t="s">
        <v>36</v>
      </c>
      <c r="C37" s="7" t="s">
        <v>963</v>
      </c>
      <c r="D37" s="7" t="s">
        <v>964</v>
      </c>
      <c r="E37" s="8" t="s">
        <v>84</v>
      </c>
      <c r="F37" s="7" t="s">
        <v>128</v>
      </c>
      <c r="G37" s="7" t="s">
        <v>965</v>
      </c>
      <c r="H37" s="7" t="s">
        <v>371</v>
      </c>
      <c r="I37" s="9" t="n">
        <f aca="false">COUNTIF(タスク一覧!$E:$E,A37)</f>
        <v>1</v>
      </c>
    </row>
    <row r="38" customFormat="false" ht="15" hidden="false" customHeight="false" outlineLevel="0" collapsed="false">
      <c r="A38" s="7" t="s">
        <v>375</v>
      </c>
      <c r="B38" s="11" t="s">
        <v>36</v>
      </c>
      <c r="C38" s="7" t="s">
        <v>966</v>
      </c>
      <c r="D38" s="7" t="s">
        <v>967</v>
      </c>
      <c r="E38" s="8" t="s">
        <v>103</v>
      </c>
      <c r="F38" s="7" t="s">
        <v>128</v>
      </c>
      <c r="G38" s="7" t="s">
        <v>968</v>
      </c>
      <c r="H38" s="7" t="s">
        <v>969</v>
      </c>
      <c r="I38" s="9" t="n">
        <f aca="false">COUNTIF(タスク一覧!$E:$E,A38)</f>
        <v>1</v>
      </c>
    </row>
    <row r="39" customFormat="false" ht="15" hidden="false" customHeight="false" outlineLevel="0" collapsed="false">
      <c r="A39" s="7" t="s">
        <v>383</v>
      </c>
      <c r="B39" s="11" t="s">
        <v>36</v>
      </c>
      <c r="C39" s="7" t="s">
        <v>970</v>
      </c>
      <c r="D39" s="7" t="s">
        <v>971</v>
      </c>
      <c r="E39" s="8" t="s">
        <v>103</v>
      </c>
      <c r="F39" s="8" t="s">
        <v>94</v>
      </c>
      <c r="G39" s="7" t="s">
        <v>972</v>
      </c>
      <c r="H39" s="7" t="s">
        <v>387</v>
      </c>
      <c r="I39" s="9" t="n">
        <f aca="false">COUNTIF(タスク一覧!$E:$E,A39)</f>
        <v>1</v>
      </c>
    </row>
    <row r="40" customFormat="false" ht="15" hidden="false" customHeight="false" outlineLevel="0" collapsed="false">
      <c r="A40" s="7" t="s">
        <v>391</v>
      </c>
      <c r="B40" s="11" t="s">
        <v>36</v>
      </c>
      <c r="C40" s="7" t="s">
        <v>973</v>
      </c>
      <c r="D40" s="7" t="s">
        <v>974</v>
      </c>
      <c r="E40" s="8" t="s">
        <v>103</v>
      </c>
      <c r="F40" s="7" t="s">
        <v>128</v>
      </c>
      <c r="G40" s="7" t="s">
        <v>975</v>
      </c>
      <c r="H40" s="7" t="s">
        <v>976</v>
      </c>
      <c r="I40" s="9" t="n">
        <f aca="false">COUNTIF(タスク一覧!$E:$E,A40)</f>
        <v>1</v>
      </c>
    </row>
    <row r="41" customFormat="false" ht="15" hidden="false" customHeight="false" outlineLevel="0" collapsed="false">
      <c r="A41" s="8" t="s">
        <v>399</v>
      </c>
      <c r="B41" s="11" t="s">
        <v>36</v>
      </c>
      <c r="C41" s="7" t="s">
        <v>977</v>
      </c>
      <c r="D41" s="7" t="s">
        <v>978</v>
      </c>
      <c r="E41" s="8" t="s">
        <v>103</v>
      </c>
      <c r="F41" s="7" t="s">
        <v>401</v>
      </c>
      <c r="G41" s="7" t="s">
        <v>979</v>
      </c>
      <c r="H41" s="8" t="s">
        <v>404</v>
      </c>
      <c r="I41" s="9" t="n">
        <f aca="false">COUNTIF(タスク一覧!$E:$E,A41)</f>
        <v>1</v>
      </c>
    </row>
    <row r="42" customFormat="false" ht="15" hidden="false" customHeight="false" outlineLevel="0" collapsed="false">
      <c r="A42" s="7" t="s">
        <v>408</v>
      </c>
      <c r="B42" s="11" t="s">
        <v>36</v>
      </c>
      <c r="C42" s="7" t="s">
        <v>980</v>
      </c>
      <c r="D42" s="7" t="s">
        <v>981</v>
      </c>
      <c r="E42" s="8" t="s">
        <v>103</v>
      </c>
      <c r="F42" s="7" t="s">
        <v>128</v>
      </c>
      <c r="G42" s="7" t="s">
        <v>982</v>
      </c>
      <c r="H42" s="7" t="s">
        <v>412</v>
      </c>
      <c r="I42" s="9" t="n">
        <f aca="false">COUNTIF(タスク一覧!$E:$E,A42)</f>
        <v>1</v>
      </c>
    </row>
    <row r="43" customFormat="false" ht="15" hidden="false" customHeight="false" outlineLevel="0" collapsed="false">
      <c r="A43" s="7" t="s">
        <v>416</v>
      </c>
      <c r="B43" s="11" t="s">
        <v>36</v>
      </c>
      <c r="C43" s="7" t="s">
        <v>983</v>
      </c>
      <c r="D43" s="7" t="s">
        <v>984</v>
      </c>
      <c r="E43" s="8" t="s">
        <v>103</v>
      </c>
      <c r="F43" s="7" t="s">
        <v>128</v>
      </c>
      <c r="G43" s="7" t="s">
        <v>965</v>
      </c>
      <c r="H43" s="7" t="s">
        <v>965</v>
      </c>
      <c r="I43" s="9" t="n">
        <f aca="false">COUNTIF(タスク一覧!$E:$E,A43)</f>
        <v>1</v>
      </c>
    </row>
    <row r="44" customFormat="false" ht="15" hidden="false" customHeight="false" outlineLevel="0" collapsed="false">
      <c r="A44" s="7" t="s">
        <v>424</v>
      </c>
      <c r="B44" s="11" t="s">
        <v>36</v>
      </c>
      <c r="C44" s="7" t="s">
        <v>985</v>
      </c>
      <c r="D44" s="7" t="s">
        <v>986</v>
      </c>
      <c r="E44" s="8" t="s">
        <v>84</v>
      </c>
      <c r="F44" s="7" t="s">
        <v>128</v>
      </c>
      <c r="G44" s="7" t="s">
        <v>987</v>
      </c>
      <c r="H44" s="7" t="s">
        <v>424</v>
      </c>
      <c r="I44" s="9" t="n">
        <f aca="false">COUNTIF(タスク一覧!$E:$E,A44)</f>
        <v>1</v>
      </c>
    </row>
    <row r="45" customFormat="false" ht="15" hidden="false" customHeight="false" outlineLevel="0" collapsed="false">
      <c r="A45" s="7" t="s">
        <v>431</v>
      </c>
      <c r="B45" s="11" t="s">
        <v>36</v>
      </c>
      <c r="C45" s="7" t="s">
        <v>988</v>
      </c>
      <c r="D45" s="8" t="s">
        <v>989</v>
      </c>
      <c r="E45" s="8" t="s">
        <v>84</v>
      </c>
      <c r="F45" s="7" t="s">
        <v>128</v>
      </c>
      <c r="G45" s="7" t="s">
        <v>990</v>
      </c>
      <c r="H45" s="8" t="s">
        <v>435</v>
      </c>
      <c r="I45" s="9" t="n">
        <f aca="false">COUNTIF(タスク一覧!$E:$E,A45)</f>
        <v>1</v>
      </c>
    </row>
    <row r="46" customFormat="false" ht="15" hidden="false" customHeight="false" outlineLevel="0" collapsed="false">
      <c r="A46" s="7" t="s">
        <v>439</v>
      </c>
      <c r="B46" s="11" t="s">
        <v>36</v>
      </c>
      <c r="C46" s="7" t="s">
        <v>991</v>
      </c>
      <c r="D46" s="7" t="s">
        <v>992</v>
      </c>
      <c r="E46" s="8" t="s">
        <v>84</v>
      </c>
      <c r="F46" s="7" t="s">
        <v>85</v>
      </c>
      <c r="G46" s="7" t="s">
        <v>993</v>
      </c>
      <c r="H46" s="7" t="s">
        <v>443</v>
      </c>
      <c r="I46" s="9" t="n">
        <f aca="false">COUNTIF(タスク一覧!$E:$E,A46)</f>
        <v>1</v>
      </c>
    </row>
    <row r="47" customFormat="false" ht="15" hidden="false" customHeight="false" outlineLevel="0" collapsed="false">
      <c r="A47" s="7" t="s">
        <v>447</v>
      </c>
      <c r="B47" s="12" t="s">
        <v>41</v>
      </c>
      <c r="C47" s="7" t="s">
        <v>994</v>
      </c>
      <c r="D47" s="7" t="s">
        <v>995</v>
      </c>
      <c r="E47" s="8" t="s">
        <v>84</v>
      </c>
      <c r="F47" s="7" t="s">
        <v>85</v>
      </c>
      <c r="G47" s="7" t="s">
        <v>996</v>
      </c>
      <c r="H47" s="7" t="s">
        <v>997</v>
      </c>
      <c r="I47" s="9" t="n">
        <f aca="false">COUNTIF(タスク一覧!$E:$E,A47)</f>
        <v>1</v>
      </c>
    </row>
    <row r="48" customFormat="false" ht="15" hidden="false" customHeight="false" outlineLevel="0" collapsed="false">
      <c r="A48" s="8" t="s">
        <v>455</v>
      </c>
      <c r="B48" s="12" t="s">
        <v>41</v>
      </c>
      <c r="C48" s="7" t="s">
        <v>998</v>
      </c>
      <c r="D48" s="7" t="s">
        <v>999</v>
      </c>
      <c r="E48" s="8" t="s">
        <v>103</v>
      </c>
      <c r="F48" s="8" t="s">
        <v>94</v>
      </c>
      <c r="G48" s="7" t="s">
        <v>996</v>
      </c>
      <c r="H48" s="8" t="s">
        <v>1000</v>
      </c>
      <c r="I48" s="9" t="n">
        <f aca="false">COUNTIF(タスク一覧!$E:$E,A48)</f>
        <v>1</v>
      </c>
    </row>
    <row r="49" customFormat="false" ht="26.85" hidden="false" customHeight="false" outlineLevel="0" collapsed="false">
      <c r="A49" s="8" t="s">
        <v>463</v>
      </c>
      <c r="B49" s="12" t="s">
        <v>41</v>
      </c>
      <c r="C49" s="7" t="s">
        <v>1001</v>
      </c>
      <c r="D49" s="7" t="s">
        <v>1002</v>
      </c>
      <c r="E49" s="8" t="s">
        <v>84</v>
      </c>
      <c r="F49" s="7" t="s">
        <v>347</v>
      </c>
      <c r="G49" s="8" t="s">
        <v>1003</v>
      </c>
      <c r="H49" s="8" t="s">
        <v>467</v>
      </c>
      <c r="I49" s="9" t="n">
        <f aca="false">COUNTIF(タスク一覧!$E:$E,A49)</f>
        <v>1</v>
      </c>
    </row>
    <row r="50" customFormat="false" ht="15" hidden="false" customHeight="false" outlineLevel="0" collapsed="false">
      <c r="A50" s="8" t="s">
        <v>471</v>
      </c>
      <c r="B50" s="12" t="s">
        <v>41</v>
      </c>
      <c r="C50" s="8" t="s">
        <v>1004</v>
      </c>
      <c r="D50" s="7" t="s">
        <v>1005</v>
      </c>
      <c r="E50" s="8" t="s">
        <v>103</v>
      </c>
      <c r="F50" s="8" t="s">
        <v>84</v>
      </c>
      <c r="G50" s="7" t="s">
        <v>1006</v>
      </c>
      <c r="H50" s="8" t="s">
        <v>475</v>
      </c>
      <c r="I50" s="9" t="n">
        <f aca="false">COUNTIF(タスク一覧!$E:$E,A50)</f>
        <v>1</v>
      </c>
    </row>
    <row r="51" customFormat="false" ht="15" hidden="false" customHeight="false" outlineLevel="0" collapsed="false">
      <c r="A51" s="7" t="s">
        <v>479</v>
      </c>
      <c r="B51" s="12" t="s">
        <v>41</v>
      </c>
      <c r="C51" s="7" t="s">
        <v>1007</v>
      </c>
      <c r="D51" s="7" t="s">
        <v>1008</v>
      </c>
      <c r="E51" s="8" t="s">
        <v>481</v>
      </c>
      <c r="F51" s="8" t="s">
        <v>94</v>
      </c>
      <c r="G51" s="7" t="s">
        <v>1009</v>
      </c>
      <c r="H51" s="7" t="s">
        <v>484</v>
      </c>
      <c r="I51" s="9" t="n">
        <f aca="false">COUNTIF(タスク一覧!$E:$E,A51)</f>
        <v>1</v>
      </c>
    </row>
    <row r="52" customFormat="false" ht="26.85" hidden="false" customHeight="false" outlineLevel="0" collapsed="false">
      <c r="A52" s="7" t="s">
        <v>488</v>
      </c>
      <c r="B52" s="12" t="s">
        <v>41</v>
      </c>
      <c r="C52" s="7" t="s">
        <v>1010</v>
      </c>
      <c r="D52" s="7" t="s">
        <v>1011</v>
      </c>
      <c r="E52" s="8" t="s">
        <v>84</v>
      </c>
      <c r="F52" s="7" t="s">
        <v>347</v>
      </c>
      <c r="G52" s="7" t="s">
        <v>1012</v>
      </c>
      <c r="H52" s="7" t="s">
        <v>492</v>
      </c>
      <c r="I52" s="9" t="n">
        <f aca="false">COUNTIF(タスク一覧!$E:$E,A52)</f>
        <v>1</v>
      </c>
    </row>
    <row r="53" customFormat="false" ht="15" hidden="false" customHeight="false" outlineLevel="0" collapsed="false">
      <c r="A53" s="7" t="s">
        <v>496</v>
      </c>
      <c r="B53" s="12" t="s">
        <v>41</v>
      </c>
      <c r="C53" s="7" t="s">
        <v>1013</v>
      </c>
      <c r="D53" s="7" t="s">
        <v>1014</v>
      </c>
      <c r="E53" s="8" t="s">
        <v>103</v>
      </c>
      <c r="F53" s="8" t="s">
        <v>94</v>
      </c>
      <c r="G53" s="7" t="s">
        <v>1015</v>
      </c>
      <c r="H53" s="8" t="s">
        <v>500</v>
      </c>
      <c r="I53" s="9" t="n">
        <f aca="false">COUNTIF(タスク一覧!$E:$E,A53)</f>
        <v>1</v>
      </c>
    </row>
    <row r="54" customFormat="false" ht="15" hidden="false" customHeight="false" outlineLevel="0" collapsed="false">
      <c r="A54" s="7" t="s">
        <v>504</v>
      </c>
      <c r="B54" s="12" t="s">
        <v>41</v>
      </c>
      <c r="C54" s="7" t="s">
        <v>1016</v>
      </c>
      <c r="D54" s="7" t="s">
        <v>1017</v>
      </c>
      <c r="E54" s="8" t="s">
        <v>84</v>
      </c>
      <c r="F54" s="8" t="s">
        <v>94</v>
      </c>
      <c r="G54" s="7" t="s">
        <v>1015</v>
      </c>
      <c r="H54" s="7" t="s">
        <v>508</v>
      </c>
      <c r="I54" s="9" t="n">
        <f aca="false">COUNTIF(タスク一覧!$E:$E,A54)</f>
        <v>1</v>
      </c>
    </row>
    <row r="55" customFormat="false" ht="15" hidden="false" customHeight="false" outlineLevel="0" collapsed="false">
      <c r="A55" s="8" t="s">
        <v>512</v>
      </c>
      <c r="B55" s="12" t="s">
        <v>41</v>
      </c>
      <c r="C55" s="7" t="s">
        <v>1018</v>
      </c>
      <c r="D55" s="7" t="s">
        <v>1019</v>
      </c>
      <c r="E55" s="8" t="s">
        <v>84</v>
      </c>
      <c r="F55" s="8" t="s">
        <v>94</v>
      </c>
      <c r="G55" s="7" t="s">
        <v>1015</v>
      </c>
      <c r="H55" s="8" t="s">
        <v>516</v>
      </c>
      <c r="I55" s="9" t="n">
        <f aca="false">COUNTIF(タスク一覧!$E:$E,A55)</f>
        <v>1</v>
      </c>
    </row>
    <row r="56" customFormat="false" ht="15" hidden="false" customHeight="false" outlineLevel="0" collapsed="false">
      <c r="A56" s="7" t="s">
        <v>520</v>
      </c>
      <c r="B56" s="12" t="s">
        <v>41</v>
      </c>
      <c r="C56" s="7" t="s">
        <v>1020</v>
      </c>
      <c r="D56" s="7" t="s">
        <v>1021</v>
      </c>
      <c r="E56" s="8" t="s">
        <v>84</v>
      </c>
      <c r="F56" s="7" t="s">
        <v>85</v>
      </c>
      <c r="G56" s="7" t="s">
        <v>1022</v>
      </c>
      <c r="H56" s="7" t="s">
        <v>1023</v>
      </c>
      <c r="I56" s="9" t="n">
        <f aca="false">COUNTIF(タスク一覧!$E:$E,A56)</f>
        <v>1</v>
      </c>
    </row>
    <row r="57" customFormat="false" ht="15" hidden="false" customHeight="false" outlineLevel="0" collapsed="false">
      <c r="A57" s="7" t="s">
        <v>528</v>
      </c>
      <c r="B57" s="12" t="s">
        <v>41</v>
      </c>
      <c r="C57" s="7" t="s">
        <v>1024</v>
      </c>
      <c r="D57" s="7" t="s">
        <v>1025</v>
      </c>
      <c r="E57" s="7" t="s">
        <v>530</v>
      </c>
      <c r="F57" s="7" t="s">
        <v>85</v>
      </c>
      <c r="G57" s="7" t="s">
        <v>1026</v>
      </c>
      <c r="H57" s="7" t="s">
        <v>533</v>
      </c>
      <c r="I57" s="9" t="n">
        <f aca="false">COUNTIF(タスク一覧!$E:$E,A57)</f>
        <v>1</v>
      </c>
    </row>
    <row r="58" customFormat="false" ht="15" hidden="false" customHeight="false" outlineLevel="0" collapsed="false">
      <c r="A58" s="7" t="s">
        <v>537</v>
      </c>
      <c r="B58" s="12" t="s">
        <v>41</v>
      </c>
      <c r="C58" s="7" t="s">
        <v>1027</v>
      </c>
      <c r="D58" s="7" t="s">
        <v>1028</v>
      </c>
      <c r="E58" s="7" t="s">
        <v>530</v>
      </c>
      <c r="F58" s="8" t="s">
        <v>84</v>
      </c>
      <c r="G58" s="7" t="s">
        <v>1026</v>
      </c>
      <c r="H58" s="7" t="s">
        <v>1029</v>
      </c>
      <c r="I58" s="9" t="n">
        <f aca="false">COUNTIF(タスク一覧!$E:$E,A58)</f>
        <v>1</v>
      </c>
    </row>
    <row r="59" customFormat="false" ht="15" hidden="false" customHeight="false" outlineLevel="0" collapsed="false">
      <c r="A59" s="7" t="s">
        <v>545</v>
      </c>
      <c r="B59" s="13" t="s">
        <v>45</v>
      </c>
      <c r="C59" s="7" t="s">
        <v>1030</v>
      </c>
      <c r="D59" s="7" t="s">
        <v>1031</v>
      </c>
      <c r="E59" s="7" t="s">
        <v>547</v>
      </c>
      <c r="F59" s="7" t="s">
        <v>128</v>
      </c>
      <c r="G59" s="7" t="s">
        <v>1032</v>
      </c>
      <c r="H59" s="7" t="s">
        <v>1033</v>
      </c>
      <c r="I59" s="9" t="n">
        <f aca="false">COUNTIF(タスク一覧!$E:$E,A59)</f>
        <v>1</v>
      </c>
    </row>
    <row r="60" customFormat="false" ht="15" hidden="false" customHeight="false" outlineLevel="0" collapsed="false">
      <c r="A60" s="8" t="s">
        <v>554</v>
      </c>
      <c r="B60" s="13" t="s">
        <v>45</v>
      </c>
      <c r="C60" s="7" t="s">
        <v>1034</v>
      </c>
      <c r="D60" s="7" t="s">
        <v>1035</v>
      </c>
      <c r="E60" s="7" t="s">
        <v>556</v>
      </c>
      <c r="F60" s="8" t="s">
        <v>84</v>
      </c>
      <c r="G60" s="7" t="s">
        <v>1032</v>
      </c>
      <c r="H60" s="7" t="s">
        <v>559</v>
      </c>
      <c r="I60" s="9" t="n">
        <f aca="false">COUNTIF(タスク一覧!$E:$E,A60)</f>
        <v>1</v>
      </c>
    </row>
    <row r="61" customFormat="false" ht="15" hidden="false" customHeight="false" outlineLevel="0" collapsed="false">
      <c r="A61" s="7" t="s">
        <v>563</v>
      </c>
      <c r="B61" s="13" t="s">
        <v>45</v>
      </c>
      <c r="C61" s="7" t="s">
        <v>1036</v>
      </c>
      <c r="D61" s="7" t="s">
        <v>1037</v>
      </c>
      <c r="E61" s="7" t="s">
        <v>547</v>
      </c>
      <c r="F61" s="7" t="s">
        <v>401</v>
      </c>
      <c r="G61" s="7" t="s">
        <v>1032</v>
      </c>
      <c r="H61" s="7" t="s">
        <v>1038</v>
      </c>
      <c r="I61" s="9" t="n">
        <f aca="false">COUNTIF(タスク一覧!$E:$E,A61)</f>
        <v>1</v>
      </c>
    </row>
    <row r="62" customFormat="false" ht="15" hidden="false" customHeight="false" outlineLevel="0" collapsed="false">
      <c r="A62" s="7" t="s">
        <v>571</v>
      </c>
      <c r="B62" s="13" t="s">
        <v>45</v>
      </c>
      <c r="C62" s="7" t="s">
        <v>1039</v>
      </c>
      <c r="D62" s="7" t="s">
        <v>1040</v>
      </c>
      <c r="E62" s="8" t="s">
        <v>84</v>
      </c>
      <c r="F62" s="7" t="s">
        <v>128</v>
      </c>
      <c r="G62" s="7" t="s">
        <v>1041</v>
      </c>
      <c r="H62" s="7" t="s">
        <v>1042</v>
      </c>
      <c r="I62" s="9" t="n">
        <f aca="false">COUNTIF(タスク一覧!$E:$E,A62)</f>
        <v>1</v>
      </c>
    </row>
    <row r="63" customFormat="false" ht="15" hidden="false" customHeight="false" outlineLevel="0" collapsed="false">
      <c r="A63" s="7" t="s">
        <v>579</v>
      </c>
      <c r="B63" s="13" t="s">
        <v>45</v>
      </c>
      <c r="C63" s="7" t="s">
        <v>1043</v>
      </c>
      <c r="D63" s="7" t="s">
        <v>1044</v>
      </c>
      <c r="E63" s="7" t="s">
        <v>581</v>
      </c>
      <c r="F63" s="7" t="s">
        <v>128</v>
      </c>
      <c r="G63" s="7" t="s">
        <v>1045</v>
      </c>
      <c r="H63" s="7" t="s">
        <v>1046</v>
      </c>
      <c r="I63" s="9" t="n">
        <f aca="false">COUNTIF(タスク一覧!$E:$E,A63)</f>
        <v>1</v>
      </c>
    </row>
    <row r="64" customFormat="false" ht="15" hidden="false" customHeight="false" outlineLevel="0" collapsed="false">
      <c r="A64" s="7" t="s">
        <v>588</v>
      </c>
      <c r="B64" s="13" t="s">
        <v>45</v>
      </c>
      <c r="C64" s="7" t="s">
        <v>1047</v>
      </c>
      <c r="D64" s="7" t="s">
        <v>1048</v>
      </c>
      <c r="E64" s="7" t="s">
        <v>547</v>
      </c>
      <c r="F64" s="7" t="s">
        <v>128</v>
      </c>
      <c r="G64" s="7" t="s">
        <v>1049</v>
      </c>
      <c r="H64" s="7" t="s">
        <v>1050</v>
      </c>
      <c r="I64" s="9" t="n">
        <f aca="false">COUNTIF(タスク一覧!$E:$E,A64)</f>
        <v>1</v>
      </c>
    </row>
    <row r="65" customFormat="false" ht="15" hidden="false" customHeight="false" outlineLevel="0" collapsed="false">
      <c r="A65" s="8" t="s">
        <v>596</v>
      </c>
      <c r="B65" s="14" t="s">
        <v>50</v>
      </c>
      <c r="C65" s="7" t="s">
        <v>1051</v>
      </c>
      <c r="D65" s="7" t="s">
        <v>1052</v>
      </c>
      <c r="E65" s="8" t="s">
        <v>84</v>
      </c>
      <c r="F65" s="8" t="s">
        <v>94</v>
      </c>
      <c r="G65" s="7" t="s">
        <v>1053</v>
      </c>
      <c r="H65" s="8" t="s">
        <v>1054</v>
      </c>
      <c r="I65" s="9" t="n">
        <f aca="false">COUNTIF(タスク一覧!$E:$E,A65)</f>
        <v>1</v>
      </c>
    </row>
    <row r="66" customFormat="false" ht="15" hidden="false" customHeight="false" outlineLevel="0" collapsed="false">
      <c r="A66" s="7" t="s">
        <v>604</v>
      </c>
      <c r="B66" s="14" t="s">
        <v>50</v>
      </c>
      <c r="C66" s="7" t="s">
        <v>1055</v>
      </c>
      <c r="D66" s="7" t="s">
        <v>1056</v>
      </c>
      <c r="E66" s="8" t="s">
        <v>84</v>
      </c>
      <c r="F66" s="8" t="s">
        <v>94</v>
      </c>
      <c r="G66" s="7" t="s">
        <v>1057</v>
      </c>
      <c r="H66" s="7" t="s">
        <v>1058</v>
      </c>
      <c r="I66" s="9" t="n">
        <f aca="false">COUNTIF(タスク一覧!$E:$E,A66)</f>
        <v>1</v>
      </c>
    </row>
    <row r="67" customFormat="false" ht="15" hidden="false" customHeight="false" outlineLevel="0" collapsed="false">
      <c r="A67" s="7" t="s">
        <v>612</v>
      </c>
      <c r="B67" s="14" t="s">
        <v>50</v>
      </c>
      <c r="C67" s="7" t="s">
        <v>1059</v>
      </c>
      <c r="D67" s="7" t="s">
        <v>1060</v>
      </c>
      <c r="E67" s="8" t="s">
        <v>84</v>
      </c>
      <c r="F67" s="8" t="s">
        <v>94</v>
      </c>
      <c r="G67" s="7" t="s">
        <v>1053</v>
      </c>
      <c r="H67" s="7" t="s">
        <v>616</v>
      </c>
      <c r="I67" s="9" t="n">
        <f aca="false">COUNTIF(タスク一覧!$E:$E,A67)</f>
        <v>1</v>
      </c>
    </row>
    <row r="68" customFormat="false" ht="15" hidden="false" customHeight="false" outlineLevel="0" collapsed="false">
      <c r="A68" s="7" t="s">
        <v>620</v>
      </c>
      <c r="B68" s="14" t="s">
        <v>50</v>
      </c>
      <c r="C68" s="7" t="s">
        <v>1061</v>
      </c>
      <c r="D68" s="7" t="s">
        <v>1062</v>
      </c>
      <c r="E68" s="8" t="s">
        <v>84</v>
      </c>
      <c r="F68" s="8" t="s">
        <v>94</v>
      </c>
      <c r="G68" s="7" t="s">
        <v>1053</v>
      </c>
      <c r="H68" s="7" t="s">
        <v>624</v>
      </c>
      <c r="I68" s="9" t="n">
        <f aca="false">COUNTIF(タスク一覧!$E:$E,A68)</f>
        <v>1</v>
      </c>
    </row>
    <row r="69" customFormat="false" ht="15" hidden="false" customHeight="false" outlineLevel="0" collapsed="false">
      <c r="A69" s="7" t="s">
        <v>628</v>
      </c>
      <c r="B69" s="14" t="s">
        <v>50</v>
      </c>
      <c r="C69" s="7" t="s">
        <v>1063</v>
      </c>
      <c r="D69" s="7" t="s">
        <v>1064</v>
      </c>
      <c r="E69" s="8" t="s">
        <v>84</v>
      </c>
      <c r="F69" s="8" t="s">
        <v>94</v>
      </c>
      <c r="G69" s="7" t="s">
        <v>1065</v>
      </c>
      <c r="H69" s="7" t="s">
        <v>628</v>
      </c>
      <c r="I69" s="9" t="n">
        <f aca="false">COUNTIF(タスク一覧!$E:$E,A69)</f>
        <v>1</v>
      </c>
    </row>
    <row r="70" customFormat="false" ht="26.85" hidden="false" customHeight="false" outlineLevel="0" collapsed="false">
      <c r="A70" s="7" t="s">
        <v>635</v>
      </c>
      <c r="B70" s="14" t="s">
        <v>50</v>
      </c>
      <c r="C70" s="7" t="s">
        <v>1066</v>
      </c>
      <c r="D70" s="7" t="s">
        <v>1067</v>
      </c>
      <c r="E70" s="8" t="s">
        <v>84</v>
      </c>
      <c r="F70" s="7" t="s">
        <v>347</v>
      </c>
      <c r="G70" s="7" t="s">
        <v>1068</v>
      </c>
      <c r="H70" s="7" t="s">
        <v>1069</v>
      </c>
      <c r="I70" s="9" t="n">
        <f aca="false">COUNTIF(タスク一覧!$E:$E,A70)</f>
        <v>1</v>
      </c>
    </row>
    <row r="71" customFormat="false" ht="15" hidden="false" customHeight="false" outlineLevel="0" collapsed="false">
      <c r="A71" s="7" t="s">
        <v>643</v>
      </c>
      <c r="B71" s="14" t="s">
        <v>50</v>
      </c>
      <c r="C71" s="8" t="s">
        <v>1070</v>
      </c>
      <c r="D71" s="7" t="s">
        <v>1071</v>
      </c>
      <c r="E71" s="8" t="s">
        <v>84</v>
      </c>
      <c r="F71" s="8" t="s">
        <v>94</v>
      </c>
      <c r="G71" s="7" t="s">
        <v>1072</v>
      </c>
      <c r="H71" s="7" t="s">
        <v>1073</v>
      </c>
      <c r="I71" s="9" t="n">
        <f aca="false">COUNTIF(タスク一覧!$E:$E,A71)</f>
        <v>1</v>
      </c>
    </row>
    <row r="72" customFormat="false" ht="15" hidden="false" customHeight="false" outlineLevel="0" collapsed="false">
      <c r="A72" s="7" t="s">
        <v>651</v>
      </c>
      <c r="B72" s="14" t="s">
        <v>50</v>
      </c>
      <c r="C72" s="7" t="s">
        <v>1074</v>
      </c>
      <c r="D72" s="7" t="s">
        <v>652</v>
      </c>
      <c r="E72" s="7" t="s">
        <v>547</v>
      </c>
      <c r="F72" s="7" t="s">
        <v>128</v>
      </c>
      <c r="G72" s="7" t="s">
        <v>1075</v>
      </c>
      <c r="H72" s="7" t="s">
        <v>1076</v>
      </c>
      <c r="I72" s="9" t="n">
        <f aca="false">COUNTIF(タスク一覧!$E:$E,A72)</f>
        <v>1</v>
      </c>
    </row>
    <row r="73" customFormat="false" ht="15" hidden="false" customHeight="false" outlineLevel="0" collapsed="false">
      <c r="A73" s="7" t="s">
        <v>659</v>
      </c>
      <c r="B73" s="10" t="s">
        <v>55</v>
      </c>
      <c r="C73" s="7" t="s">
        <v>1077</v>
      </c>
      <c r="D73" s="7" t="s">
        <v>1078</v>
      </c>
      <c r="E73" s="7" t="s">
        <v>661</v>
      </c>
      <c r="F73" s="8" t="s">
        <v>84</v>
      </c>
      <c r="G73" s="7" t="s">
        <v>1079</v>
      </c>
      <c r="H73" s="7" t="s">
        <v>659</v>
      </c>
      <c r="I73" s="9" t="n">
        <f aca="false">COUNTIF(タスク一覧!$E:$E,A73)</f>
        <v>1</v>
      </c>
    </row>
    <row r="74" customFormat="false" ht="15" hidden="false" customHeight="false" outlineLevel="0" collapsed="false">
      <c r="A74" s="7" t="s">
        <v>667</v>
      </c>
      <c r="B74" s="10" t="s">
        <v>55</v>
      </c>
      <c r="C74" s="7" t="s">
        <v>1080</v>
      </c>
      <c r="D74" s="7" t="s">
        <v>1081</v>
      </c>
      <c r="E74" s="8" t="s">
        <v>103</v>
      </c>
      <c r="F74" s="7" t="s">
        <v>128</v>
      </c>
      <c r="G74" s="7" t="s">
        <v>1082</v>
      </c>
      <c r="H74" s="7" t="s">
        <v>1083</v>
      </c>
      <c r="I74" s="9" t="n">
        <f aca="false">COUNTIF(タスク一覧!$E:$E,A74)</f>
        <v>1</v>
      </c>
    </row>
    <row r="75" customFormat="false" ht="15" hidden="false" customHeight="false" outlineLevel="0" collapsed="false">
      <c r="A75" s="7" t="s">
        <v>675</v>
      </c>
      <c r="B75" s="10" t="s">
        <v>55</v>
      </c>
      <c r="C75" s="7" t="s">
        <v>1084</v>
      </c>
      <c r="D75" s="8" t="s">
        <v>1085</v>
      </c>
      <c r="E75" s="8" t="s">
        <v>103</v>
      </c>
      <c r="F75" s="8" t="s">
        <v>84</v>
      </c>
      <c r="G75" s="7" t="s">
        <v>1086</v>
      </c>
      <c r="H75" s="7" t="s">
        <v>679</v>
      </c>
      <c r="I75" s="9" t="n">
        <f aca="false">COUNTIF(タスク一覧!$E:$E,A75)</f>
        <v>1</v>
      </c>
    </row>
    <row r="76" customFormat="false" ht="15" hidden="false" customHeight="false" outlineLevel="0" collapsed="false">
      <c r="A76" s="7" t="s">
        <v>683</v>
      </c>
      <c r="B76" s="10" t="s">
        <v>55</v>
      </c>
      <c r="C76" s="7" t="s">
        <v>1087</v>
      </c>
      <c r="D76" s="7" t="s">
        <v>1088</v>
      </c>
      <c r="E76" s="8" t="s">
        <v>103</v>
      </c>
      <c r="F76" s="8" t="s">
        <v>94</v>
      </c>
      <c r="G76" s="7" t="s">
        <v>1089</v>
      </c>
      <c r="H76" s="7" t="s">
        <v>687</v>
      </c>
      <c r="I76" s="9" t="n">
        <f aca="false">COUNTIF(タスク一覧!$E:$E,A76)</f>
        <v>1</v>
      </c>
    </row>
    <row r="77" customFormat="false" ht="15" hidden="false" customHeight="false" outlineLevel="0" collapsed="false">
      <c r="A77" s="7" t="s">
        <v>691</v>
      </c>
      <c r="B77" s="10" t="s">
        <v>55</v>
      </c>
      <c r="C77" s="7" t="s">
        <v>1090</v>
      </c>
      <c r="D77" s="7" t="s">
        <v>1091</v>
      </c>
      <c r="E77" s="7" t="s">
        <v>581</v>
      </c>
      <c r="F77" s="8" t="s">
        <v>84</v>
      </c>
      <c r="G77" s="7" t="s">
        <v>1092</v>
      </c>
      <c r="H77" s="7" t="s">
        <v>695</v>
      </c>
      <c r="I77" s="9" t="n">
        <f aca="false">COUNTIF(タスク一覧!$E:$E,A77)</f>
        <v>1</v>
      </c>
    </row>
    <row r="78" customFormat="false" ht="15" hidden="false" customHeight="false" outlineLevel="0" collapsed="false">
      <c r="A78" s="8" t="s">
        <v>699</v>
      </c>
      <c r="B78" s="10" t="s">
        <v>55</v>
      </c>
      <c r="C78" s="7" t="s">
        <v>1093</v>
      </c>
      <c r="D78" s="7" t="s">
        <v>1094</v>
      </c>
      <c r="E78" s="7" t="s">
        <v>128</v>
      </c>
      <c r="F78" s="7" t="s">
        <v>128</v>
      </c>
      <c r="G78" s="8" t="s">
        <v>1095</v>
      </c>
      <c r="H78" s="8" t="s">
        <v>1096</v>
      </c>
      <c r="I78" s="9" t="n">
        <f aca="false">COUNTIF(タスク一覧!$E:$E,A78)</f>
        <v>1</v>
      </c>
    </row>
    <row r="79" customFormat="false" ht="15" hidden="false" customHeight="false" outlineLevel="0" collapsed="false">
      <c r="A79" s="7" t="s">
        <v>707</v>
      </c>
      <c r="B79" s="11" t="s">
        <v>59</v>
      </c>
      <c r="C79" s="7" t="s">
        <v>1097</v>
      </c>
      <c r="D79" s="7" t="s">
        <v>1098</v>
      </c>
      <c r="E79" s="8" t="s">
        <v>84</v>
      </c>
      <c r="F79" s="7" t="s">
        <v>85</v>
      </c>
      <c r="G79" s="8" t="s">
        <v>1099</v>
      </c>
      <c r="H79" s="7" t="s">
        <v>1100</v>
      </c>
      <c r="I79" s="9" t="n">
        <f aca="false">COUNTIF(タスク一覧!$E:$E,A79)</f>
        <v>1</v>
      </c>
    </row>
    <row r="80" customFormat="false" ht="15" hidden="false" customHeight="false" outlineLevel="0" collapsed="false">
      <c r="A80" s="7" t="s">
        <v>715</v>
      </c>
      <c r="B80" s="11" t="s">
        <v>59</v>
      </c>
      <c r="C80" s="7" t="s">
        <v>1101</v>
      </c>
      <c r="D80" s="7" t="s">
        <v>1102</v>
      </c>
      <c r="E80" s="8" t="s">
        <v>84</v>
      </c>
      <c r="F80" s="7" t="s">
        <v>128</v>
      </c>
      <c r="G80" s="7" t="s">
        <v>1103</v>
      </c>
      <c r="H80" s="7" t="s">
        <v>1104</v>
      </c>
      <c r="I80" s="9" t="n">
        <f aca="false">COUNTIF(タスク一覧!$E:$E,A80)</f>
        <v>1</v>
      </c>
    </row>
    <row r="81" customFormat="false" ht="15" hidden="false" customHeight="false" outlineLevel="0" collapsed="false">
      <c r="A81" s="7" t="s">
        <v>723</v>
      </c>
      <c r="B81" s="11" t="s">
        <v>59</v>
      </c>
      <c r="C81" s="7" t="s">
        <v>1105</v>
      </c>
      <c r="D81" s="7" t="s">
        <v>1106</v>
      </c>
      <c r="E81" s="8" t="s">
        <v>84</v>
      </c>
      <c r="F81" s="8" t="s">
        <v>94</v>
      </c>
      <c r="G81" s="7" t="s">
        <v>1103</v>
      </c>
      <c r="H81" s="7" t="s">
        <v>1107</v>
      </c>
      <c r="I81" s="9" t="n">
        <f aca="false">COUNTIF(タスク一覧!$E:$E,A81)</f>
        <v>1</v>
      </c>
    </row>
    <row r="82" customFormat="false" ht="26.85" hidden="false" customHeight="false" outlineLevel="0" collapsed="false">
      <c r="A82" s="7" t="s">
        <v>731</v>
      </c>
      <c r="B82" s="11" t="s">
        <v>59</v>
      </c>
      <c r="C82" s="7" t="s">
        <v>1108</v>
      </c>
      <c r="D82" s="7" t="s">
        <v>1109</v>
      </c>
      <c r="E82" s="7" t="s">
        <v>733</v>
      </c>
      <c r="F82" s="8" t="s">
        <v>84</v>
      </c>
      <c r="G82" s="7" t="s">
        <v>1110</v>
      </c>
      <c r="H82" s="7" t="s">
        <v>1111</v>
      </c>
      <c r="I82" s="9" t="n">
        <f aca="false">COUNTIF(タスク一覧!$E:$E,A82)</f>
        <v>1</v>
      </c>
    </row>
    <row r="83" customFormat="false" ht="15" hidden="false" customHeight="false" outlineLevel="0" collapsed="false">
      <c r="A83" s="7" t="s">
        <v>740</v>
      </c>
      <c r="B83" s="11" t="s">
        <v>59</v>
      </c>
      <c r="C83" s="7" t="s">
        <v>1112</v>
      </c>
      <c r="D83" s="7" t="s">
        <v>1113</v>
      </c>
      <c r="E83" s="8" t="s">
        <v>481</v>
      </c>
      <c r="F83" s="8" t="s">
        <v>94</v>
      </c>
      <c r="G83" s="7" t="s">
        <v>1103</v>
      </c>
      <c r="H83" s="7" t="s">
        <v>744</v>
      </c>
      <c r="I83" s="9" t="n">
        <f aca="false">COUNTIF(タスク一覧!$E:$E,A83)</f>
        <v>1</v>
      </c>
    </row>
    <row r="84" customFormat="false" ht="15" hidden="false" customHeight="false" outlineLevel="0" collapsed="false">
      <c r="A84" s="7" t="s">
        <v>748</v>
      </c>
      <c r="B84" s="11" t="s">
        <v>59</v>
      </c>
      <c r="C84" s="7" t="s">
        <v>1114</v>
      </c>
      <c r="D84" s="7" t="s">
        <v>1115</v>
      </c>
      <c r="E84" s="8" t="s">
        <v>750</v>
      </c>
      <c r="F84" s="7" t="s">
        <v>128</v>
      </c>
      <c r="G84" s="7" t="s">
        <v>1116</v>
      </c>
      <c r="H84" s="7" t="s">
        <v>1117</v>
      </c>
      <c r="I84" s="9" t="n">
        <f aca="false">COUNTIF(タスク一覧!$E:$E,A84)</f>
        <v>1</v>
      </c>
    </row>
    <row r="85" customFormat="false" ht="15" hidden="false" customHeight="false" outlineLevel="0" collapsed="false">
      <c r="A85" s="7" t="s">
        <v>757</v>
      </c>
      <c r="B85" s="11" t="s">
        <v>59</v>
      </c>
      <c r="C85" s="7" t="s">
        <v>1118</v>
      </c>
      <c r="D85" s="7" t="s">
        <v>1119</v>
      </c>
      <c r="E85" s="8" t="s">
        <v>84</v>
      </c>
      <c r="F85" s="7" t="s">
        <v>85</v>
      </c>
      <c r="G85" s="7" t="s">
        <v>1120</v>
      </c>
      <c r="H85" s="7" t="s">
        <v>761</v>
      </c>
      <c r="I85" s="9" t="n">
        <f aca="false">COUNTIF(タスク一覧!$E:$E,A85)</f>
        <v>1</v>
      </c>
    </row>
    <row r="86" customFormat="false" ht="15" hidden="false" customHeight="false" outlineLevel="0" collapsed="false">
      <c r="A86" s="7" t="s">
        <v>765</v>
      </c>
      <c r="B86" s="11" t="s">
        <v>59</v>
      </c>
      <c r="C86" s="7" t="s">
        <v>1121</v>
      </c>
      <c r="D86" s="7" t="s">
        <v>1122</v>
      </c>
      <c r="E86" s="8" t="s">
        <v>84</v>
      </c>
      <c r="F86" s="8" t="s">
        <v>94</v>
      </c>
      <c r="G86" s="7" t="s">
        <v>1123</v>
      </c>
      <c r="H86" s="7" t="s">
        <v>1124</v>
      </c>
      <c r="I86" s="9" t="n">
        <f aca="false">COUNTIF(タスク一覧!$E:$E,A86)</f>
        <v>1</v>
      </c>
    </row>
    <row r="87" customFormat="false" ht="15" hidden="false" customHeight="false" outlineLevel="0" collapsed="false">
      <c r="A87" s="7" t="s">
        <v>773</v>
      </c>
      <c r="B87" s="12" t="s">
        <v>63</v>
      </c>
      <c r="C87" s="7" t="s">
        <v>1125</v>
      </c>
      <c r="D87" s="7" t="s">
        <v>1126</v>
      </c>
      <c r="E87" s="8" t="s">
        <v>103</v>
      </c>
      <c r="F87" s="8" t="s">
        <v>84</v>
      </c>
      <c r="G87" s="7" t="s">
        <v>1127</v>
      </c>
      <c r="H87" s="7" t="s">
        <v>1128</v>
      </c>
      <c r="I87" s="9" t="n">
        <f aca="false">COUNTIF(タスク一覧!$E:$E,A87)</f>
        <v>1</v>
      </c>
    </row>
    <row r="88" customFormat="false" ht="15" hidden="false" customHeight="false" outlineLevel="0" collapsed="false">
      <c r="A88" s="7" t="s">
        <v>781</v>
      </c>
      <c r="B88" s="12" t="s">
        <v>63</v>
      </c>
      <c r="C88" s="7" t="s">
        <v>1129</v>
      </c>
      <c r="D88" s="7" t="s">
        <v>1130</v>
      </c>
      <c r="E88" s="8" t="s">
        <v>84</v>
      </c>
      <c r="F88" s="7" t="s">
        <v>128</v>
      </c>
      <c r="G88" s="7" t="s">
        <v>1131</v>
      </c>
      <c r="H88" s="7" t="s">
        <v>1132</v>
      </c>
      <c r="I88" s="9" t="n">
        <f aca="false">COUNTIF(タスク一覧!$E:$E,A88)</f>
        <v>1</v>
      </c>
    </row>
    <row r="89" customFormat="false" ht="15" hidden="false" customHeight="false" outlineLevel="0" collapsed="false">
      <c r="A89" s="8" t="s">
        <v>789</v>
      </c>
      <c r="B89" s="12" t="s">
        <v>63</v>
      </c>
      <c r="C89" s="7" t="s">
        <v>1133</v>
      </c>
      <c r="D89" s="7" t="s">
        <v>790</v>
      </c>
      <c r="E89" s="8" t="s">
        <v>103</v>
      </c>
      <c r="F89" s="8" t="s">
        <v>94</v>
      </c>
      <c r="G89" s="7" t="s">
        <v>1127</v>
      </c>
      <c r="H89" s="8" t="s">
        <v>789</v>
      </c>
      <c r="I89" s="9" t="n">
        <f aca="false">COUNTIF(タスク一覧!$E:$E,A89)</f>
        <v>1</v>
      </c>
    </row>
    <row r="90" customFormat="false" ht="15" hidden="false" customHeight="false" outlineLevel="0" collapsed="false">
      <c r="A90" s="7" t="s">
        <v>796</v>
      </c>
      <c r="B90" s="12" t="s">
        <v>63</v>
      </c>
      <c r="C90" s="7" t="s">
        <v>1134</v>
      </c>
      <c r="D90" s="7" t="s">
        <v>1135</v>
      </c>
      <c r="E90" s="8" t="s">
        <v>103</v>
      </c>
      <c r="F90" s="8" t="s">
        <v>84</v>
      </c>
      <c r="G90" s="7" t="s">
        <v>1136</v>
      </c>
      <c r="H90" s="7" t="s">
        <v>800</v>
      </c>
      <c r="I90" s="9" t="n">
        <f aca="false">COUNTIF(タスク一覧!$E:$E,A90)</f>
        <v>1</v>
      </c>
    </row>
    <row r="91" customFormat="false" ht="15" hidden="false" customHeight="false" outlineLevel="0" collapsed="false">
      <c r="A91" s="7" t="s">
        <v>804</v>
      </c>
      <c r="B91" s="12" t="s">
        <v>63</v>
      </c>
      <c r="C91" s="7" t="s">
        <v>1137</v>
      </c>
      <c r="D91" s="7" t="s">
        <v>1138</v>
      </c>
      <c r="E91" s="7" t="s">
        <v>85</v>
      </c>
      <c r="F91" s="8" t="s">
        <v>94</v>
      </c>
      <c r="G91" s="7" t="s">
        <v>1139</v>
      </c>
      <c r="H91" s="7" t="s">
        <v>1140</v>
      </c>
      <c r="I91" s="9" t="n">
        <f aca="false">COUNTIF(タスク一覧!$E:$E,A91)</f>
        <v>1</v>
      </c>
    </row>
    <row r="92" customFormat="false" ht="26.85" hidden="false" customHeight="false" outlineLevel="0" collapsed="false">
      <c r="A92" s="7" t="s">
        <v>812</v>
      </c>
      <c r="B92" s="12" t="s">
        <v>63</v>
      </c>
      <c r="C92" s="7" t="s">
        <v>1141</v>
      </c>
      <c r="D92" s="7" t="s">
        <v>1142</v>
      </c>
      <c r="E92" s="8" t="s">
        <v>84</v>
      </c>
      <c r="F92" s="7" t="s">
        <v>128</v>
      </c>
      <c r="G92" s="7" t="s">
        <v>1143</v>
      </c>
      <c r="H92" s="7" t="s">
        <v>1144</v>
      </c>
      <c r="I92" s="9" t="n">
        <f aca="false">COUNTIF(タスク一覧!$E:$E,A92)</f>
        <v>1</v>
      </c>
    </row>
    <row r="93" customFormat="false" ht="15" hidden="false" customHeight="false" outlineLevel="0" collapsed="false">
      <c r="A93" s="7" t="s">
        <v>820</v>
      </c>
      <c r="B93" s="12" t="s">
        <v>63</v>
      </c>
      <c r="C93" s="7" t="s">
        <v>1145</v>
      </c>
      <c r="D93" s="8" t="s">
        <v>1146</v>
      </c>
      <c r="E93" s="8" t="s">
        <v>103</v>
      </c>
      <c r="F93" s="7" t="s">
        <v>85</v>
      </c>
      <c r="G93" s="7" t="s">
        <v>1147</v>
      </c>
      <c r="H93" s="7" t="s">
        <v>824</v>
      </c>
      <c r="I93" s="9" t="n">
        <f aca="false">COUNTIF(タスク一覧!$E:$E,A93)</f>
        <v>1</v>
      </c>
    </row>
    <row r="94" customFormat="false" ht="15" hidden="false" customHeight="false" outlineLevel="0" collapsed="false">
      <c r="A94" s="7" t="s">
        <v>828</v>
      </c>
      <c r="B94" s="12" t="s">
        <v>63</v>
      </c>
      <c r="C94" s="7" t="s">
        <v>1148</v>
      </c>
      <c r="D94" s="7" t="s">
        <v>1149</v>
      </c>
      <c r="E94" s="8" t="s">
        <v>84</v>
      </c>
      <c r="F94" s="8" t="s">
        <v>94</v>
      </c>
      <c r="G94" s="7" t="s">
        <v>1150</v>
      </c>
      <c r="H94" s="7" t="s">
        <v>1151</v>
      </c>
      <c r="I94" s="9" t="n">
        <f aca="false">COUNTIF(タスク一覧!$E:$E,A94)</f>
        <v>1</v>
      </c>
    </row>
    <row r="95" customFormat="false" ht="15" hidden="false" customHeight="false" outlineLevel="0" collapsed="false">
      <c r="A95" s="7" t="s">
        <v>836</v>
      </c>
      <c r="B95" s="12" t="s">
        <v>63</v>
      </c>
      <c r="C95" s="7" t="s">
        <v>1152</v>
      </c>
      <c r="D95" s="7" t="s">
        <v>1153</v>
      </c>
      <c r="E95" s="8" t="s">
        <v>84</v>
      </c>
      <c r="F95" s="8" t="s">
        <v>94</v>
      </c>
      <c r="G95" s="7" t="s">
        <v>1154</v>
      </c>
      <c r="H95" s="7" t="s">
        <v>1155</v>
      </c>
      <c r="I95" s="9" t="n">
        <f aca="false">COUNTIF(タスク一覧!$E:$E,A95)</f>
        <v>1</v>
      </c>
    </row>
    <row r="97" customFormat="false" ht="15" hidden="false" customHeight="false" outlineLevel="0" collapsed="false">
      <c r="A97" s="17" t="s">
        <v>1156</v>
      </c>
    </row>
  </sheetData>
  <autoFilter ref="A1:I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44"/>
  </cols>
  <sheetData>
    <row r="1" customFormat="false" ht="30" hidden="false" customHeight="true" outlineLevel="0" collapsed="false">
      <c r="A1" s="5" t="s">
        <v>1157</v>
      </c>
      <c r="B1" s="5" t="s">
        <v>1158</v>
      </c>
      <c r="C1" s="5" t="s">
        <v>1159</v>
      </c>
      <c r="D1" s="5" t="s">
        <v>1160</v>
      </c>
      <c r="E1" s="5" t="s">
        <v>1161</v>
      </c>
    </row>
    <row r="2" customFormat="false" ht="15" hidden="false" customHeight="false" outlineLevel="0" collapsed="false">
      <c r="A2" s="7" t="s">
        <v>1162</v>
      </c>
      <c r="B2" s="7" t="s">
        <v>1163</v>
      </c>
      <c r="C2" s="7" t="s">
        <v>1164</v>
      </c>
      <c r="D2" s="7" t="s">
        <v>1165</v>
      </c>
      <c r="E2" s="7" t="s">
        <v>1166</v>
      </c>
    </row>
    <row r="3" customFormat="false" ht="15" hidden="false" customHeight="false" outlineLevel="0" collapsed="false">
      <c r="A3" s="8" t="s">
        <v>857</v>
      </c>
      <c r="B3" s="7" t="s">
        <v>863</v>
      </c>
      <c r="C3" s="7" t="s">
        <v>1167</v>
      </c>
      <c r="D3" s="7" t="s">
        <v>863</v>
      </c>
      <c r="E3" s="7" t="s">
        <v>1168</v>
      </c>
    </row>
    <row r="4" customFormat="false" ht="15" hidden="false" customHeight="false" outlineLevel="0" collapsed="false">
      <c r="A4" s="7" t="s">
        <v>97</v>
      </c>
      <c r="B4" s="7" t="s">
        <v>1163</v>
      </c>
      <c r="C4" s="7" t="s">
        <v>1169</v>
      </c>
      <c r="D4" s="7" t="s">
        <v>863</v>
      </c>
      <c r="E4" s="7" t="s">
        <v>1170</v>
      </c>
    </row>
    <row r="5" customFormat="false" ht="15" hidden="false" customHeight="false" outlineLevel="0" collapsed="false">
      <c r="A5" s="7" t="s">
        <v>1171</v>
      </c>
      <c r="B5" s="7" t="s">
        <v>863</v>
      </c>
      <c r="C5" s="7" t="s">
        <v>1172</v>
      </c>
      <c r="D5" s="7" t="s">
        <v>863</v>
      </c>
      <c r="E5" s="7" t="s">
        <v>1173</v>
      </c>
    </row>
    <row r="6" customFormat="false" ht="15" hidden="false" customHeight="false" outlineLevel="0" collapsed="false">
      <c r="A6" s="7" t="s">
        <v>1174</v>
      </c>
      <c r="B6" s="7" t="s">
        <v>863</v>
      </c>
      <c r="C6" s="7" t="s">
        <v>1175</v>
      </c>
      <c r="D6" s="7" t="s">
        <v>863</v>
      </c>
      <c r="E6" s="7" t="s">
        <v>1176</v>
      </c>
    </row>
    <row r="7" customFormat="false" ht="15" hidden="false" customHeight="false" outlineLevel="0" collapsed="false">
      <c r="A7" s="7" t="s">
        <v>131</v>
      </c>
      <c r="B7" s="7" t="s">
        <v>863</v>
      </c>
      <c r="C7" s="7" t="s">
        <v>1177</v>
      </c>
      <c r="D7" s="7" t="s">
        <v>863</v>
      </c>
      <c r="E7" s="7" t="s">
        <v>1178</v>
      </c>
    </row>
    <row r="8" customFormat="false" ht="15" hidden="false" customHeight="false" outlineLevel="0" collapsed="false">
      <c r="A8" s="7" t="s">
        <v>870</v>
      </c>
      <c r="B8" s="7" t="s">
        <v>863</v>
      </c>
      <c r="C8" s="7" t="s">
        <v>1179</v>
      </c>
      <c r="D8" s="7" t="s">
        <v>863</v>
      </c>
      <c r="E8" s="7" t="s">
        <v>1180</v>
      </c>
    </row>
    <row r="9" customFormat="false" ht="15" hidden="false" customHeight="false" outlineLevel="0" collapsed="false">
      <c r="A9" s="7" t="s">
        <v>147</v>
      </c>
      <c r="B9" s="7" t="s">
        <v>863</v>
      </c>
      <c r="C9" s="7" t="s">
        <v>1181</v>
      </c>
      <c r="D9" s="7" t="s">
        <v>1182</v>
      </c>
      <c r="E9" s="7" t="s">
        <v>1183</v>
      </c>
    </row>
    <row r="10" customFormat="false" ht="15" hidden="false" customHeight="false" outlineLevel="0" collapsed="false">
      <c r="A10" s="7" t="s">
        <v>155</v>
      </c>
      <c r="B10" s="7" t="s">
        <v>863</v>
      </c>
      <c r="C10" s="7" t="s">
        <v>1184</v>
      </c>
      <c r="D10" s="7" t="s">
        <v>863</v>
      </c>
      <c r="E10" s="7" t="s">
        <v>1185</v>
      </c>
    </row>
    <row r="11" customFormat="false" ht="15" hidden="false" customHeight="false" outlineLevel="0" collapsed="false">
      <c r="A11" s="7" t="s">
        <v>163</v>
      </c>
      <c r="B11" s="7" t="s">
        <v>863</v>
      </c>
      <c r="C11" s="7" t="s">
        <v>1186</v>
      </c>
      <c r="D11" s="7" t="s">
        <v>863</v>
      </c>
      <c r="E11" s="7" t="s">
        <v>1187</v>
      </c>
    </row>
    <row r="12" customFormat="false" ht="15" hidden="false" customHeight="false" outlineLevel="0" collapsed="false">
      <c r="A12" s="7" t="s">
        <v>171</v>
      </c>
      <c r="B12" s="7" t="s">
        <v>863</v>
      </c>
      <c r="C12" s="7" t="s">
        <v>1188</v>
      </c>
      <c r="D12" s="7" t="s">
        <v>1189</v>
      </c>
      <c r="E12" s="7" t="s">
        <v>1190</v>
      </c>
    </row>
    <row r="13" customFormat="false" ht="15" hidden="false" customHeight="false" outlineLevel="0" collapsed="false">
      <c r="A13" s="7" t="s">
        <v>187</v>
      </c>
      <c r="B13" s="7" t="s">
        <v>902</v>
      </c>
      <c r="C13" s="7" t="s">
        <v>1191</v>
      </c>
      <c r="D13" s="7" t="s">
        <v>902</v>
      </c>
      <c r="E13" s="7" t="s">
        <v>1192</v>
      </c>
    </row>
    <row r="14" customFormat="false" ht="15" hidden="false" customHeight="false" outlineLevel="0" collapsed="false">
      <c r="A14" s="7" t="s">
        <v>893</v>
      </c>
      <c r="B14" s="7" t="s">
        <v>902</v>
      </c>
      <c r="C14" s="7" t="s">
        <v>1193</v>
      </c>
      <c r="D14" s="7" t="s">
        <v>902</v>
      </c>
      <c r="E14" s="7" t="s">
        <v>1194</v>
      </c>
    </row>
    <row r="15" customFormat="false" ht="15" hidden="false" customHeight="false" outlineLevel="0" collapsed="false">
      <c r="A15" s="7" t="s">
        <v>203</v>
      </c>
      <c r="B15" s="7" t="s">
        <v>902</v>
      </c>
      <c r="C15" s="7" t="s">
        <v>1195</v>
      </c>
      <c r="D15" s="7" t="s">
        <v>902</v>
      </c>
      <c r="E15" s="7" t="s">
        <v>1196</v>
      </c>
    </row>
    <row r="16" customFormat="false" ht="15" hidden="false" customHeight="false" outlineLevel="0" collapsed="false">
      <c r="A16" s="7" t="s">
        <v>1197</v>
      </c>
      <c r="B16" s="7" t="s">
        <v>902</v>
      </c>
      <c r="C16" s="7" t="s">
        <v>1198</v>
      </c>
      <c r="D16" s="7" t="s">
        <v>1199</v>
      </c>
      <c r="E16" s="7" t="s">
        <v>1200</v>
      </c>
    </row>
    <row r="17" customFormat="false" ht="15" hidden="false" customHeight="false" outlineLevel="0" collapsed="false">
      <c r="A17" s="8" t="s">
        <v>211</v>
      </c>
      <c r="B17" s="7" t="s">
        <v>902</v>
      </c>
      <c r="C17" s="7" t="s">
        <v>897</v>
      </c>
      <c r="D17" s="7" t="s">
        <v>902</v>
      </c>
      <c r="E17" s="7" t="s">
        <v>1201</v>
      </c>
    </row>
    <row r="18" customFormat="false" ht="15" hidden="false" customHeight="false" outlineLevel="0" collapsed="false">
      <c r="A18" s="8" t="s">
        <v>1202</v>
      </c>
      <c r="B18" s="7" t="s">
        <v>902</v>
      </c>
      <c r="C18" s="7" t="s">
        <v>1203</v>
      </c>
      <c r="D18" s="7" t="s">
        <v>902</v>
      </c>
      <c r="E18" s="7" t="s">
        <v>900</v>
      </c>
    </row>
    <row r="19" customFormat="false" ht="15" hidden="false" customHeight="false" outlineLevel="0" collapsed="false">
      <c r="A19" s="7" t="s">
        <v>1204</v>
      </c>
      <c r="B19" s="7" t="s">
        <v>1163</v>
      </c>
      <c r="C19" s="7" t="s">
        <v>1205</v>
      </c>
      <c r="D19" s="7" t="s">
        <v>1206</v>
      </c>
      <c r="E19" s="7" t="s">
        <v>1207</v>
      </c>
    </row>
    <row r="20" customFormat="false" ht="15" hidden="false" customHeight="false" outlineLevel="0" collapsed="false">
      <c r="A20" s="7" t="s">
        <v>1208</v>
      </c>
      <c r="B20" s="7" t="s">
        <v>1163</v>
      </c>
      <c r="C20" s="7" t="s">
        <v>1209</v>
      </c>
      <c r="D20" s="7" t="s">
        <v>902</v>
      </c>
      <c r="E20" s="7" t="s">
        <v>1210</v>
      </c>
    </row>
    <row r="21" customFormat="false" ht="15" hidden="false" customHeight="false" outlineLevel="0" collapsed="false">
      <c r="A21" s="7" t="s">
        <v>1211</v>
      </c>
      <c r="B21" s="7" t="s">
        <v>1163</v>
      </c>
      <c r="C21" s="7" t="s">
        <v>1212</v>
      </c>
      <c r="D21" s="7" t="s">
        <v>902</v>
      </c>
      <c r="E21" s="7" t="s">
        <v>1213</v>
      </c>
    </row>
    <row r="22" customFormat="false" ht="15" hidden="false" customHeight="false" outlineLevel="0" collapsed="false">
      <c r="A22" s="7" t="s">
        <v>235</v>
      </c>
      <c r="B22" s="7" t="s">
        <v>902</v>
      </c>
      <c r="C22" s="7" t="s">
        <v>1214</v>
      </c>
      <c r="D22" s="7" t="s">
        <v>1215</v>
      </c>
      <c r="E22" s="7" t="s">
        <v>1216</v>
      </c>
    </row>
    <row r="23" customFormat="false" ht="15" hidden="false" customHeight="false" outlineLevel="0" collapsed="false">
      <c r="A23" s="7" t="s">
        <v>243</v>
      </c>
      <c r="B23" s="7" t="s">
        <v>1217</v>
      </c>
      <c r="C23" s="7" t="s">
        <v>1218</v>
      </c>
      <c r="D23" s="7" t="s">
        <v>902</v>
      </c>
      <c r="E23" s="7" t="s">
        <v>1219</v>
      </c>
    </row>
    <row r="24" customFormat="false" ht="15" hidden="false" customHeight="false" outlineLevel="0" collapsed="false">
      <c r="A24" s="7" t="s">
        <v>1220</v>
      </c>
      <c r="B24" s="7" t="s">
        <v>1221</v>
      </c>
      <c r="C24" s="7" t="s">
        <v>1222</v>
      </c>
      <c r="D24" s="7" t="s">
        <v>1223</v>
      </c>
      <c r="E24" s="7" t="s">
        <v>1224</v>
      </c>
    </row>
    <row r="25" customFormat="false" ht="15" hidden="false" customHeight="false" outlineLevel="0" collapsed="false">
      <c r="A25" s="7" t="s">
        <v>259</v>
      </c>
      <c r="B25" s="8" t="s">
        <v>84</v>
      </c>
      <c r="C25" s="7" t="s">
        <v>1225</v>
      </c>
      <c r="D25" s="7" t="s">
        <v>1226</v>
      </c>
      <c r="E25" s="7" t="s">
        <v>1227</v>
      </c>
    </row>
    <row r="26" customFormat="false" ht="15" hidden="false" customHeight="false" outlineLevel="0" collapsed="false">
      <c r="A26" s="7" t="s">
        <v>267</v>
      </c>
      <c r="B26" s="7" t="s">
        <v>902</v>
      </c>
      <c r="C26" s="7" t="s">
        <v>1228</v>
      </c>
      <c r="D26" s="7" t="s">
        <v>902</v>
      </c>
      <c r="E26" s="7" t="s">
        <v>1229</v>
      </c>
    </row>
    <row r="27" customFormat="false" ht="15" hidden="false" customHeight="false" outlineLevel="0" collapsed="false">
      <c r="A27" s="7" t="s">
        <v>275</v>
      </c>
      <c r="B27" s="7" t="s">
        <v>902</v>
      </c>
      <c r="C27" s="7" t="s">
        <v>1230</v>
      </c>
      <c r="D27" s="7" t="s">
        <v>1231</v>
      </c>
      <c r="E27" s="7" t="s">
        <v>1232</v>
      </c>
    </row>
    <row r="28" customFormat="false" ht="15" hidden="false" customHeight="false" outlineLevel="0" collapsed="false">
      <c r="A28" s="7" t="s">
        <v>283</v>
      </c>
      <c r="B28" s="7" t="s">
        <v>902</v>
      </c>
      <c r="C28" s="7" t="s">
        <v>1233</v>
      </c>
      <c r="D28" s="7" t="s">
        <v>902</v>
      </c>
      <c r="E28" s="7" t="s">
        <v>1234</v>
      </c>
    </row>
    <row r="29" customFormat="false" ht="15" hidden="false" customHeight="false" outlineLevel="0" collapsed="false">
      <c r="A29" s="8" t="s">
        <v>291</v>
      </c>
      <c r="B29" s="7" t="s">
        <v>902</v>
      </c>
      <c r="C29" s="7" t="s">
        <v>1235</v>
      </c>
      <c r="D29" s="7" t="s">
        <v>1231</v>
      </c>
      <c r="E29" s="7" t="s">
        <v>1236</v>
      </c>
    </row>
    <row r="30" customFormat="false" ht="15" hidden="false" customHeight="false" outlineLevel="0" collapsed="false">
      <c r="A30" s="8" t="s">
        <v>1237</v>
      </c>
      <c r="B30" s="7" t="s">
        <v>1238</v>
      </c>
      <c r="C30" s="7" t="s">
        <v>1239</v>
      </c>
      <c r="D30" s="7" t="s">
        <v>902</v>
      </c>
      <c r="E30" s="7" t="s">
        <v>1240</v>
      </c>
    </row>
    <row r="31" customFormat="false" ht="15" hidden="false" customHeight="false" outlineLevel="0" collapsed="false">
      <c r="A31" s="7" t="s">
        <v>1241</v>
      </c>
      <c r="B31" s="7" t="s">
        <v>1238</v>
      </c>
      <c r="C31" s="7" t="s">
        <v>1242</v>
      </c>
      <c r="D31" s="7" t="s">
        <v>902</v>
      </c>
      <c r="E31" s="7" t="s">
        <v>1243</v>
      </c>
    </row>
    <row r="32" customFormat="false" ht="15" hidden="false" customHeight="false" outlineLevel="0" collapsed="false">
      <c r="A32" s="7" t="s">
        <v>1244</v>
      </c>
      <c r="B32" s="7" t="s">
        <v>1238</v>
      </c>
      <c r="C32" s="7" t="s">
        <v>1245</v>
      </c>
      <c r="D32" s="7" t="s">
        <v>1217</v>
      </c>
      <c r="E32" s="7" t="s">
        <v>1246</v>
      </c>
    </row>
    <row r="33" customFormat="false" ht="15" hidden="false" customHeight="false" outlineLevel="0" collapsed="false">
      <c r="A33" s="7" t="s">
        <v>303</v>
      </c>
      <c r="B33" s="7" t="s">
        <v>902</v>
      </c>
      <c r="C33" s="7" t="s">
        <v>1247</v>
      </c>
      <c r="D33" s="7" t="s">
        <v>902</v>
      </c>
      <c r="E33" s="7" t="s">
        <v>938</v>
      </c>
    </row>
    <row r="34" customFormat="false" ht="15" hidden="false" customHeight="false" outlineLevel="0" collapsed="false">
      <c r="A34" s="7" t="s">
        <v>1248</v>
      </c>
      <c r="B34" s="7" t="s">
        <v>1217</v>
      </c>
      <c r="C34" s="7" t="s">
        <v>1249</v>
      </c>
      <c r="D34" s="7" t="s">
        <v>1250</v>
      </c>
      <c r="E34" s="7" t="s">
        <v>1251</v>
      </c>
    </row>
    <row r="35" customFormat="false" ht="15" hidden="false" customHeight="false" outlineLevel="0" collapsed="false">
      <c r="A35" s="7" t="s">
        <v>315</v>
      </c>
      <c r="B35" s="7" t="s">
        <v>902</v>
      </c>
      <c r="C35" s="7" t="s">
        <v>1252</v>
      </c>
      <c r="D35" s="7" t="s">
        <v>902</v>
      </c>
      <c r="E35" s="7" t="s">
        <v>1253</v>
      </c>
    </row>
    <row r="36" customFormat="false" ht="15" hidden="false" customHeight="false" outlineLevel="0" collapsed="false">
      <c r="A36" s="7" t="s">
        <v>323</v>
      </c>
      <c r="B36" s="7" t="s">
        <v>1254</v>
      </c>
      <c r="C36" s="7" t="s">
        <v>1255</v>
      </c>
      <c r="D36" s="7" t="s">
        <v>1256</v>
      </c>
      <c r="E36" s="7" t="s">
        <v>1257</v>
      </c>
    </row>
    <row r="37" customFormat="false" ht="15" hidden="false" customHeight="false" outlineLevel="0" collapsed="false">
      <c r="A37" s="7" t="s">
        <v>327</v>
      </c>
      <c r="B37" s="7" t="s">
        <v>902</v>
      </c>
      <c r="C37" s="7" t="s">
        <v>947</v>
      </c>
      <c r="D37" s="7" t="s">
        <v>902</v>
      </c>
      <c r="E37" s="7" t="s">
        <v>1258</v>
      </c>
    </row>
    <row r="38" customFormat="false" ht="15" hidden="false" customHeight="false" outlineLevel="0" collapsed="false">
      <c r="A38" s="7" t="s">
        <v>339</v>
      </c>
      <c r="B38" s="7" t="s">
        <v>902</v>
      </c>
      <c r="C38" s="7" t="s">
        <v>1259</v>
      </c>
      <c r="D38" s="7" t="s">
        <v>902</v>
      </c>
      <c r="E38" s="7" t="s">
        <v>334</v>
      </c>
    </row>
    <row r="39" customFormat="false" ht="15" hidden="false" customHeight="false" outlineLevel="0" collapsed="false">
      <c r="A39" s="7" t="s">
        <v>347</v>
      </c>
      <c r="B39" s="7" t="s">
        <v>1238</v>
      </c>
      <c r="C39" s="7" t="s">
        <v>1260</v>
      </c>
      <c r="D39" s="7" t="s">
        <v>1226</v>
      </c>
      <c r="E39" s="7" t="s">
        <v>1261</v>
      </c>
    </row>
    <row r="40" customFormat="false" ht="15" hidden="false" customHeight="false" outlineLevel="0" collapsed="false">
      <c r="A40" s="7" t="s">
        <v>355</v>
      </c>
      <c r="B40" s="7" t="s">
        <v>965</v>
      </c>
      <c r="C40" s="7" t="s">
        <v>1262</v>
      </c>
      <c r="D40" s="7" t="s">
        <v>965</v>
      </c>
      <c r="E40" s="7" t="s">
        <v>1263</v>
      </c>
    </row>
    <row r="41" customFormat="false" ht="15" hidden="false" customHeight="false" outlineLevel="0" collapsed="false">
      <c r="A41" s="7" t="s">
        <v>1264</v>
      </c>
      <c r="B41" s="7" t="s">
        <v>965</v>
      </c>
      <c r="C41" s="7" t="s">
        <v>1265</v>
      </c>
      <c r="D41" s="7" t="s">
        <v>965</v>
      </c>
      <c r="E41" s="7" t="s">
        <v>1266</v>
      </c>
    </row>
    <row r="42" customFormat="false" ht="15" hidden="false" customHeight="false" outlineLevel="0" collapsed="false">
      <c r="A42" s="7" t="s">
        <v>1267</v>
      </c>
      <c r="B42" s="7" t="s">
        <v>965</v>
      </c>
      <c r="C42" s="7" t="s">
        <v>1268</v>
      </c>
      <c r="D42" s="7" t="s">
        <v>965</v>
      </c>
      <c r="E42" s="7" t="s">
        <v>1269</v>
      </c>
    </row>
    <row r="43" customFormat="false" ht="15" hidden="false" customHeight="false" outlineLevel="0" collapsed="false">
      <c r="A43" s="7" t="s">
        <v>371</v>
      </c>
      <c r="B43" s="7" t="s">
        <v>965</v>
      </c>
      <c r="C43" s="7" t="s">
        <v>1270</v>
      </c>
      <c r="D43" s="7" t="s">
        <v>965</v>
      </c>
      <c r="E43" s="7" t="s">
        <v>1271</v>
      </c>
    </row>
    <row r="44" customFormat="false" ht="15" hidden="false" customHeight="false" outlineLevel="0" collapsed="false">
      <c r="A44" s="7" t="s">
        <v>1272</v>
      </c>
      <c r="B44" s="7" t="s">
        <v>965</v>
      </c>
      <c r="C44" s="7" t="s">
        <v>1273</v>
      </c>
      <c r="D44" s="7" t="s">
        <v>965</v>
      </c>
      <c r="E44" s="7" t="s">
        <v>1274</v>
      </c>
    </row>
    <row r="45" customFormat="false" ht="15" hidden="false" customHeight="false" outlineLevel="0" collapsed="false">
      <c r="A45" s="7" t="s">
        <v>1275</v>
      </c>
      <c r="B45" s="7" t="s">
        <v>965</v>
      </c>
      <c r="C45" s="7" t="s">
        <v>1276</v>
      </c>
      <c r="D45" s="7" t="s">
        <v>1277</v>
      </c>
      <c r="E45" s="7" t="s">
        <v>1278</v>
      </c>
    </row>
    <row r="46" customFormat="false" ht="15" hidden="false" customHeight="false" outlineLevel="0" collapsed="false">
      <c r="A46" s="7" t="s">
        <v>1279</v>
      </c>
      <c r="B46" s="7" t="s">
        <v>965</v>
      </c>
      <c r="C46" s="7" t="s">
        <v>1280</v>
      </c>
      <c r="D46" s="7" t="s">
        <v>965</v>
      </c>
      <c r="E46" s="7" t="s">
        <v>1281</v>
      </c>
    </row>
    <row r="47" customFormat="false" ht="15" hidden="false" customHeight="false" outlineLevel="0" collapsed="false">
      <c r="A47" s="7" t="s">
        <v>387</v>
      </c>
      <c r="B47" s="7" t="s">
        <v>965</v>
      </c>
      <c r="C47" s="7" t="s">
        <v>1282</v>
      </c>
      <c r="D47" s="7" t="s">
        <v>1283</v>
      </c>
      <c r="E47" s="7" t="s">
        <v>1284</v>
      </c>
    </row>
    <row r="48" customFormat="false" ht="15" hidden="false" customHeight="false" outlineLevel="0" collapsed="false">
      <c r="A48" s="7" t="s">
        <v>976</v>
      </c>
      <c r="B48" s="7" t="s">
        <v>965</v>
      </c>
      <c r="C48" s="7" t="s">
        <v>1285</v>
      </c>
      <c r="D48" s="7" t="s">
        <v>965</v>
      </c>
      <c r="E48" s="7" t="s">
        <v>973</v>
      </c>
    </row>
    <row r="49" customFormat="false" ht="15" hidden="false" customHeight="false" outlineLevel="0" collapsed="false">
      <c r="A49" s="8" t="s">
        <v>1286</v>
      </c>
      <c r="B49" s="7" t="s">
        <v>965</v>
      </c>
      <c r="C49" s="7" t="s">
        <v>1287</v>
      </c>
      <c r="D49" s="7" t="s">
        <v>965</v>
      </c>
      <c r="E49" s="7" t="s">
        <v>1288</v>
      </c>
    </row>
    <row r="50" customFormat="false" ht="15" hidden="false" customHeight="false" outlineLevel="0" collapsed="false">
      <c r="A50" s="8" t="s">
        <v>1289</v>
      </c>
      <c r="B50" s="7" t="s">
        <v>965</v>
      </c>
      <c r="C50" s="7" t="s">
        <v>1290</v>
      </c>
      <c r="D50" s="7" t="s">
        <v>965</v>
      </c>
      <c r="E50" s="7" t="s">
        <v>1291</v>
      </c>
    </row>
    <row r="51" customFormat="false" ht="15" hidden="false" customHeight="false" outlineLevel="0" collapsed="false">
      <c r="A51" s="7" t="s">
        <v>1292</v>
      </c>
      <c r="B51" s="7" t="s">
        <v>965</v>
      </c>
      <c r="C51" s="7" t="s">
        <v>1293</v>
      </c>
      <c r="D51" s="7" t="s">
        <v>1294</v>
      </c>
      <c r="E51" s="8" t="s">
        <v>1295</v>
      </c>
    </row>
    <row r="52" customFormat="false" ht="15" hidden="false" customHeight="false" outlineLevel="0" collapsed="false">
      <c r="A52" s="7" t="s">
        <v>412</v>
      </c>
      <c r="B52" s="7" t="s">
        <v>965</v>
      </c>
      <c r="C52" s="7" t="s">
        <v>1296</v>
      </c>
      <c r="D52" s="7" t="s">
        <v>1294</v>
      </c>
      <c r="E52" s="7" t="s">
        <v>1297</v>
      </c>
    </row>
    <row r="53" customFormat="false" ht="15" hidden="false" customHeight="false" outlineLevel="0" collapsed="false">
      <c r="A53" s="7" t="s">
        <v>424</v>
      </c>
      <c r="B53" s="7" t="s">
        <v>965</v>
      </c>
      <c r="C53" s="7" t="s">
        <v>1298</v>
      </c>
      <c r="D53" s="7" t="s">
        <v>1299</v>
      </c>
      <c r="E53" s="7" t="s">
        <v>1300</v>
      </c>
    </row>
    <row r="54" customFormat="false" ht="15" hidden="false" customHeight="false" outlineLevel="0" collapsed="false">
      <c r="A54" s="8" t="s">
        <v>435</v>
      </c>
      <c r="B54" s="7" t="s">
        <v>965</v>
      </c>
      <c r="C54" s="8" t="s">
        <v>1301</v>
      </c>
      <c r="D54" s="7" t="s">
        <v>965</v>
      </c>
      <c r="E54" s="8" t="s">
        <v>1302</v>
      </c>
    </row>
    <row r="55" customFormat="false" ht="15" hidden="false" customHeight="false" outlineLevel="0" collapsed="false">
      <c r="A55" s="7" t="s">
        <v>443</v>
      </c>
      <c r="B55" s="7" t="s">
        <v>1294</v>
      </c>
      <c r="C55" s="7" t="s">
        <v>1303</v>
      </c>
      <c r="D55" s="7" t="s">
        <v>1294</v>
      </c>
      <c r="E55" s="7" t="s">
        <v>1304</v>
      </c>
    </row>
    <row r="56" customFormat="false" ht="15" hidden="false" customHeight="false" outlineLevel="0" collapsed="false">
      <c r="A56" s="7" t="s">
        <v>451</v>
      </c>
      <c r="B56" s="7" t="s">
        <v>1305</v>
      </c>
      <c r="C56" s="7" t="s">
        <v>1306</v>
      </c>
      <c r="D56" s="7" t="s">
        <v>1307</v>
      </c>
      <c r="E56" s="7" t="s">
        <v>1308</v>
      </c>
    </row>
    <row r="57" customFormat="false" ht="15" hidden="false" customHeight="false" outlineLevel="0" collapsed="false">
      <c r="A57" s="8" t="s">
        <v>1000</v>
      </c>
      <c r="B57" s="7" t="s">
        <v>1305</v>
      </c>
      <c r="C57" s="7" t="s">
        <v>1309</v>
      </c>
      <c r="D57" s="7" t="s">
        <v>1307</v>
      </c>
      <c r="E57" s="7" t="s">
        <v>1310</v>
      </c>
    </row>
    <row r="58" customFormat="false" ht="15" hidden="false" customHeight="false" outlineLevel="0" collapsed="false">
      <c r="A58" s="8" t="s">
        <v>467</v>
      </c>
      <c r="B58" s="7" t="s">
        <v>1305</v>
      </c>
      <c r="C58" s="7" t="s">
        <v>1001</v>
      </c>
      <c r="D58" s="7" t="s">
        <v>1307</v>
      </c>
      <c r="E58" s="7" t="s">
        <v>1311</v>
      </c>
    </row>
    <row r="59" customFormat="false" ht="15" hidden="false" customHeight="false" outlineLevel="0" collapsed="false">
      <c r="A59" s="8" t="s">
        <v>475</v>
      </c>
      <c r="B59" s="7" t="s">
        <v>1305</v>
      </c>
      <c r="C59" s="7" t="s">
        <v>1312</v>
      </c>
      <c r="D59" s="7" t="s">
        <v>1307</v>
      </c>
      <c r="E59" s="8" t="s">
        <v>1313</v>
      </c>
    </row>
    <row r="60" customFormat="false" ht="15" hidden="false" customHeight="false" outlineLevel="0" collapsed="false">
      <c r="A60" s="7" t="s">
        <v>484</v>
      </c>
      <c r="B60" s="7" t="s">
        <v>1305</v>
      </c>
      <c r="C60" s="7" t="s">
        <v>1314</v>
      </c>
      <c r="D60" s="7" t="s">
        <v>1307</v>
      </c>
      <c r="E60" s="7" t="s">
        <v>1315</v>
      </c>
    </row>
    <row r="61" customFormat="false" ht="15" hidden="false" customHeight="false" outlineLevel="0" collapsed="false">
      <c r="A61" s="8" t="s">
        <v>500</v>
      </c>
      <c r="B61" s="7" t="s">
        <v>1305</v>
      </c>
      <c r="C61" s="7" t="s">
        <v>1013</v>
      </c>
      <c r="D61" s="7" t="s">
        <v>1307</v>
      </c>
      <c r="E61" s="7" t="s">
        <v>1316</v>
      </c>
    </row>
    <row r="62" customFormat="false" ht="15" hidden="false" customHeight="false" outlineLevel="0" collapsed="false">
      <c r="A62" s="7" t="s">
        <v>508</v>
      </c>
      <c r="B62" s="7" t="s">
        <v>1305</v>
      </c>
      <c r="C62" s="7" t="s">
        <v>1317</v>
      </c>
      <c r="D62" s="7" t="s">
        <v>1307</v>
      </c>
      <c r="E62" s="7" t="s">
        <v>1318</v>
      </c>
    </row>
    <row r="63" customFormat="false" ht="15" hidden="false" customHeight="false" outlineLevel="0" collapsed="false">
      <c r="A63" s="8" t="s">
        <v>516</v>
      </c>
      <c r="B63" s="7" t="s">
        <v>1305</v>
      </c>
      <c r="C63" s="7" t="s">
        <v>1319</v>
      </c>
      <c r="D63" s="7" t="s">
        <v>1307</v>
      </c>
      <c r="E63" s="7" t="s">
        <v>1320</v>
      </c>
    </row>
    <row r="64" customFormat="false" ht="15" hidden="false" customHeight="false" outlineLevel="0" collapsed="false">
      <c r="A64" s="7" t="s">
        <v>1321</v>
      </c>
      <c r="B64" s="7" t="s">
        <v>1322</v>
      </c>
      <c r="C64" s="7" t="s">
        <v>1323</v>
      </c>
      <c r="D64" s="7" t="s">
        <v>1322</v>
      </c>
      <c r="E64" s="7" t="s">
        <v>1324</v>
      </c>
    </row>
    <row r="65" customFormat="false" ht="15" hidden="false" customHeight="false" outlineLevel="0" collapsed="false">
      <c r="A65" s="7" t="s">
        <v>1325</v>
      </c>
      <c r="B65" s="7" t="s">
        <v>1322</v>
      </c>
      <c r="C65" s="7" t="s">
        <v>1326</v>
      </c>
      <c r="D65" s="7" t="s">
        <v>1322</v>
      </c>
      <c r="E65" s="7" t="s">
        <v>1327</v>
      </c>
    </row>
    <row r="66" customFormat="false" ht="15" hidden="false" customHeight="false" outlineLevel="0" collapsed="false">
      <c r="A66" s="7" t="s">
        <v>1328</v>
      </c>
      <c r="B66" s="7" t="s">
        <v>1322</v>
      </c>
      <c r="C66" s="7" t="s">
        <v>1329</v>
      </c>
      <c r="D66" s="7" t="s">
        <v>1322</v>
      </c>
      <c r="E66" s="7" t="s">
        <v>1330</v>
      </c>
    </row>
    <row r="67" customFormat="false" ht="15" hidden="false" customHeight="false" outlineLevel="0" collapsed="false">
      <c r="A67" s="7" t="s">
        <v>1331</v>
      </c>
      <c r="B67" s="7" t="s">
        <v>1322</v>
      </c>
      <c r="C67" s="7" t="s">
        <v>1332</v>
      </c>
      <c r="D67" s="7" t="s">
        <v>1322</v>
      </c>
      <c r="E67" s="7" t="s">
        <v>1333</v>
      </c>
    </row>
    <row r="68" customFormat="false" ht="15" hidden="false" customHeight="false" outlineLevel="0" collapsed="false">
      <c r="A68" s="8" t="s">
        <v>1334</v>
      </c>
      <c r="B68" s="7" t="s">
        <v>1322</v>
      </c>
      <c r="C68" s="7" t="s">
        <v>1335</v>
      </c>
      <c r="D68" s="7" t="s">
        <v>1336</v>
      </c>
      <c r="E68" s="7" t="s">
        <v>1337</v>
      </c>
    </row>
    <row r="69" customFormat="false" ht="15" hidden="false" customHeight="false" outlineLevel="0" collapsed="false">
      <c r="A69" s="7" t="s">
        <v>1338</v>
      </c>
      <c r="B69" s="7" t="s">
        <v>1322</v>
      </c>
      <c r="C69" s="7" t="s">
        <v>1339</v>
      </c>
      <c r="D69" s="7" t="s">
        <v>1322</v>
      </c>
      <c r="E69" s="7" t="s">
        <v>1340</v>
      </c>
    </row>
    <row r="70" customFormat="false" ht="15" hidden="false" customHeight="false" outlineLevel="0" collapsed="false">
      <c r="A70" s="7" t="s">
        <v>550</v>
      </c>
      <c r="B70" s="7" t="s">
        <v>1341</v>
      </c>
      <c r="C70" s="7" t="s">
        <v>1342</v>
      </c>
      <c r="D70" s="7" t="s">
        <v>1341</v>
      </c>
      <c r="E70" s="7" t="s">
        <v>1343</v>
      </c>
    </row>
    <row r="71" customFormat="false" ht="15" hidden="false" customHeight="false" outlineLevel="0" collapsed="false">
      <c r="A71" s="7" t="s">
        <v>1344</v>
      </c>
      <c r="B71" s="7" t="s">
        <v>1341</v>
      </c>
      <c r="C71" s="7" t="s">
        <v>1345</v>
      </c>
      <c r="D71" s="7" t="s">
        <v>1341</v>
      </c>
      <c r="E71" s="7" t="s">
        <v>1346</v>
      </c>
    </row>
    <row r="72" customFormat="false" ht="15" hidden="false" customHeight="false" outlineLevel="0" collapsed="false">
      <c r="A72" s="7" t="s">
        <v>1347</v>
      </c>
      <c r="B72" s="7" t="s">
        <v>1341</v>
      </c>
      <c r="C72" s="7" t="s">
        <v>1348</v>
      </c>
      <c r="D72" s="7" t="s">
        <v>1341</v>
      </c>
      <c r="E72" s="7" t="s">
        <v>1349</v>
      </c>
    </row>
    <row r="73" customFormat="false" ht="15" hidden="false" customHeight="false" outlineLevel="0" collapsed="false">
      <c r="A73" s="7" t="s">
        <v>1350</v>
      </c>
      <c r="B73" s="7" t="s">
        <v>1341</v>
      </c>
      <c r="C73" s="7" t="s">
        <v>1351</v>
      </c>
      <c r="D73" s="7" t="s">
        <v>1341</v>
      </c>
      <c r="E73" s="7" t="s">
        <v>1352</v>
      </c>
    </row>
    <row r="74" customFormat="false" ht="15" hidden="false" customHeight="false" outlineLevel="0" collapsed="false">
      <c r="A74" s="7" t="s">
        <v>1353</v>
      </c>
      <c r="B74" s="7" t="s">
        <v>1341</v>
      </c>
      <c r="C74" s="7" t="s">
        <v>1354</v>
      </c>
      <c r="D74" s="7" t="s">
        <v>1341</v>
      </c>
      <c r="E74" s="7" t="s">
        <v>1355</v>
      </c>
    </row>
    <row r="75" customFormat="false" ht="15" hidden="false" customHeight="false" outlineLevel="0" collapsed="false">
      <c r="A75" s="7" t="s">
        <v>575</v>
      </c>
      <c r="B75" s="7" t="s">
        <v>1341</v>
      </c>
      <c r="C75" s="7" t="s">
        <v>1356</v>
      </c>
      <c r="D75" s="7" t="s">
        <v>1341</v>
      </c>
      <c r="E75" s="7" t="s">
        <v>1357</v>
      </c>
    </row>
    <row r="76" customFormat="false" ht="15" hidden="false" customHeight="false" outlineLevel="0" collapsed="false">
      <c r="A76" s="7" t="s">
        <v>584</v>
      </c>
      <c r="B76" s="7" t="s">
        <v>1341</v>
      </c>
      <c r="C76" s="7" t="s">
        <v>1358</v>
      </c>
      <c r="D76" s="7" t="s">
        <v>1341</v>
      </c>
      <c r="E76" s="7" t="s">
        <v>1359</v>
      </c>
    </row>
    <row r="77" customFormat="false" ht="15" hidden="false" customHeight="false" outlineLevel="0" collapsed="false">
      <c r="A77" s="7" t="s">
        <v>592</v>
      </c>
      <c r="B77" s="7" t="s">
        <v>1360</v>
      </c>
      <c r="C77" s="7" t="s">
        <v>1361</v>
      </c>
      <c r="D77" s="7" t="s">
        <v>1362</v>
      </c>
      <c r="E77" s="7" t="s">
        <v>1363</v>
      </c>
    </row>
    <row r="78" customFormat="false" ht="15" hidden="false" customHeight="false" outlineLevel="0" collapsed="false">
      <c r="A78" s="8" t="s">
        <v>596</v>
      </c>
      <c r="B78" s="8" t="s">
        <v>84</v>
      </c>
      <c r="C78" s="7" t="s">
        <v>1364</v>
      </c>
      <c r="D78" s="7" t="s">
        <v>1365</v>
      </c>
      <c r="E78" s="7" t="s">
        <v>1366</v>
      </c>
    </row>
    <row r="79" customFormat="false" ht="15" hidden="false" customHeight="false" outlineLevel="0" collapsed="false">
      <c r="A79" s="7" t="s">
        <v>1367</v>
      </c>
      <c r="B79" s="8" t="s">
        <v>84</v>
      </c>
      <c r="C79" s="7" t="s">
        <v>1368</v>
      </c>
      <c r="D79" s="7" t="s">
        <v>1365</v>
      </c>
      <c r="E79" s="7" t="s">
        <v>1369</v>
      </c>
    </row>
    <row r="80" customFormat="false" ht="15" hidden="false" customHeight="false" outlineLevel="0" collapsed="false">
      <c r="A80" s="7" t="s">
        <v>1370</v>
      </c>
      <c r="B80" s="8" t="s">
        <v>84</v>
      </c>
      <c r="C80" s="7" t="s">
        <v>1371</v>
      </c>
      <c r="D80" s="7" t="s">
        <v>1365</v>
      </c>
      <c r="E80" s="7" t="s">
        <v>1372</v>
      </c>
    </row>
    <row r="81" customFormat="false" ht="15" hidden="false" customHeight="false" outlineLevel="0" collapsed="false">
      <c r="A81" s="7" t="s">
        <v>1058</v>
      </c>
      <c r="B81" s="8" t="s">
        <v>84</v>
      </c>
      <c r="C81" s="7" t="s">
        <v>1373</v>
      </c>
      <c r="D81" s="7" t="s">
        <v>1365</v>
      </c>
      <c r="E81" s="7" t="s">
        <v>1374</v>
      </c>
    </row>
    <row r="82" customFormat="false" ht="15" hidden="false" customHeight="false" outlineLevel="0" collapsed="false">
      <c r="A82" s="7" t="s">
        <v>1375</v>
      </c>
      <c r="B82" s="8" t="s">
        <v>84</v>
      </c>
      <c r="C82" s="7" t="s">
        <v>1376</v>
      </c>
      <c r="D82" s="7" t="s">
        <v>1365</v>
      </c>
      <c r="E82" s="7" t="s">
        <v>1377</v>
      </c>
    </row>
    <row r="83" customFormat="false" ht="15" hidden="false" customHeight="false" outlineLevel="0" collapsed="false">
      <c r="A83" s="7" t="s">
        <v>616</v>
      </c>
      <c r="B83" s="8" t="s">
        <v>84</v>
      </c>
      <c r="C83" s="7" t="s">
        <v>1378</v>
      </c>
      <c r="D83" s="7" t="s">
        <v>1365</v>
      </c>
      <c r="E83" s="7" t="s">
        <v>1379</v>
      </c>
    </row>
    <row r="84" customFormat="false" ht="15" hidden="false" customHeight="false" outlineLevel="0" collapsed="false">
      <c r="A84" s="7" t="s">
        <v>624</v>
      </c>
      <c r="B84" s="8" t="s">
        <v>84</v>
      </c>
      <c r="C84" s="7" t="s">
        <v>1061</v>
      </c>
      <c r="D84" s="7" t="s">
        <v>1365</v>
      </c>
      <c r="E84" s="7" t="s">
        <v>1380</v>
      </c>
    </row>
    <row r="85" customFormat="false" ht="15" hidden="false" customHeight="false" outlineLevel="0" collapsed="false">
      <c r="A85" s="7" t="s">
        <v>628</v>
      </c>
      <c r="B85" s="8" t="s">
        <v>84</v>
      </c>
      <c r="C85" s="7" t="s">
        <v>1063</v>
      </c>
      <c r="D85" s="7" t="s">
        <v>1381</v>
      </c>
      <c r="E85" s="7" t="s">
        <v>1382</v>
      </c>
    </row>
    <row r="86" customFormat="false" ht="15" hidden="false" customHeight="false" outlineLevel="0" collapsed="false">
      <c r="A86" s="7" t="s">
        <v>639</v>
      </c>
      <c r="B86" s="8" t="s">
        <v>84</v>
      </c>
      <c r="C86" s="7" t="s">
        <v>1383</v>
      </c>
      <c r="D86" s="7" t="s">
        <v>1365</v>
      </c>
      <c r="E86" s="7" t="s">
        <v>1384</v>
      </c>
    </row>
    <row r="87" customFormat="false" ht="15" hidden="false" customHeight="false" outlineLevel="0" collapsed="false">
      <c r="A87" s="7" t="s">
        <v>1073</v>
      </c>
      <c r="B87" s="8" t="s">
        <v>84</v>
      </c>
      <c r="C87" s="7" t="s">
        <v>1385</v>
      </c>
      <c r="D87" s="7" t="s">
        <v>1365</v>
      </c>
      <c r="E87" s="7" t="s">
        <v>1386</v>
      </c>
    </row>
    <row r="88" customFormat="false" ht="15" hidden="false" customHeight="false" outlineLevel="0" collapsed="false">
      <c r="A88" s="7" t="s">
        <v>1387</v>
      </c>
      <c r="B88" s="7" t="s">
        <v>1365</v>
      </c>
      <c r="C88" s="7" t="s">
        <v>1388</v>
      </c>
      <c r="D88" s="7" t="s">
        <v>1389</v>
      </c>
      <c r="E88" s="7" t="s">
        <v>1390</v>
      </c>
    </row>
    <row r="89" customFormat="false" ht="15" hidden="false" customHeight="false" outlineLevel="0" collapsed="false">
      <c r="A89" s="7" t="s">
        <v>659</v>
      </c>
      <c r="B89" s="7" t="s">
        <v>1391</v>
      </c>
      <c r="C89" s="7" t="s">
        <v>1392</v>
      </c>
      <c r="D89" s="7" t="s">
        <v>1391</v>
      </c>
      <c r="E89" s="7" t="s">
        <v>1393</v>
      </c>
    </row>
    <row r="90" customFormat="false" ht="15" hidden="false" customHeight="false" outlineLevel="0" collapsed="false">
      <c r="A90" s="7" t="s">
        <v>1083</v>
      </c>
      <c r="B90" s="7" t="s">
        <v>1391</v>
      </c>
      <c r="C90" s="7" t="s">
        <v>1080</v>
      </c>
      <c r="D90" s="7" t="s">
        <v>1391</v>
      </c>
      <c r="E90" s="7" t="s">
        <v>1394</v>
      </c>
    </row>
    <row r="91" customFormat="false" ht="15" hidden="false" customHeight="false" outlineLevel="0" collapsed="false">
      <c r="A91" s="7" t="s">
        <v>1395</v>
      </c>
      <c r="B91" s="7" t="s">
        <v>1391</v>
      </c>
      <c r="C91" s="7" t="s">
        <v>1396</v>
      </c>
      <c r="D91" s="7" t="s">
        <v>1391</v>
      </c>
      <c r="E91" s="7" t="s">
        <v>1397</v>
      </c>
    </row>
    <row r="92" customFormat="false" ht="15" hidden="false" customHeight="false" outlineLevel="0" collapsed="false">
      <c r="A92" s="7" t="s">
        <v>1398</v>
      </c>
      <c r="B92" s="7" t="s">
        <v>1391</v>
      </c>
      <c r="C92" s="7" t="s">
        <v>1399</v>
      </c>
      <c r="D92" s="7" t="s">
        <v>1391</v>
      </c>
      <c r="E92" s="7" t="s">
        <v>1400</v>
      </c>
    </row>
    <row r="93" customFormat="false" ht="15" hidden="false" customHeight="false" outlineLevel="0" collapsed="false">
      <c r="A93" s="7" t="s">
        <v>679</v>
      </c>
      <c r="B93" s="7" t="s">
        <v>1391</v>
      </c>
      <c r="C93" s="7" t="s">
        <v>1401</v>
      </c>
      <c r="D93" s="7" t="s">
        <v>1391</v>
      </c>
      <c r="E93" s="7" t="s">
        <v>1402</v>
      </c>
    </row>
    <row r="94" customFormat="false" ht="15" hidden="false" customHeight="false" outlineLevel="0" collapsed="false">
      <c r="A94" s="7" t="s">
        <v>687</v>
      </c>
      <c r="B94" s="7" t="s">
        <v>1391</v>
      </c>
      <c r="C94" s="7" t="s">
        <v>1403</v>
      </c>
      <c r="D94" s="7" t="s">
        <v>1391</v>
      </c>
      <c r="E94" s="7" t="s">
        <v>1404</v>
      </c>
    </row>
    <row r="95" customFormat="false" ht="15" hidden="false" customHeight="false" outlineLevel="0" collapsed="false">
      <c r="A95" s="7" t="s">
        <v>695</v>
      </c>
      <c r="B95" s="7" t="s">
        <v>1391</v>
      </c>
      <c r="C95" s="7" t="s">
        <v>1405</v>
      </c>
      <c r="D95" s="7" t="s">
        <v>1391</v>
      </c>
      <c r="E95" s="7" t="s">
        <v>1406</v>
      </c>
    </row>
    <row r="96" customFormat="false" ht="15" hidden="false" customHeight="false" outlineLevel="0" collapsed="false">
      <c r="A96" s="8" t="s">
        <v>703</v>
      </c>
      <c r="B96" s="7" t="s">
        <v>1391</v>
      </c>
      <c r="C96" s="7" t="s">
        <v>1407</v>
      </c>
      <c r="D96" s="7" t="s">
        <v>1391</v>
      </c>
      <c r="E96" s="7" t="s">
        <v>1408</v>
      </c>
    </row>
    <row r="97" customFormat="false" ht="15" hidden="false" customHeight="false" outlineLevel="0" collapsed="false">
      <c r="A97" s="7" t="s">
        <v>1409</v>
      </c>
      <c r="B97" s="7" t="s">
        <v>1410</v>
      </c>
      <c r="C97" s="7" t="s">
        <v>1411</v>
      </c>
      <c r="D97" s="7" t="s">
        <v>1412</v>
      </c>
      <c r="E97" s="7" t="s">
        <v>1413</v>
      </c>
    </row>
    <row r="98" customFormat="false" ht="15" hidden="false" customHeight="false" outlineLevel="0" collapsed="false">
      <c r="A98" s="7" t="s">
        <v>1414</v>
      </c>
      <c r="B98" s="7" t="s">
        <v>1410</v>
      </c>
      <c r="C98" s="7" t="s">
        <v>1415</v>
      </c>
      <c r="D98" s="7" t="s">
        <v>1412</v>
      </c>
      <c r="E98" s="7" t="s">
        <v>1416</v>
      </c>
    </row>
    <row r="99" customFormat="false" ht="15" hidden="false" customHeight="false" outlineLevel="0" collapsed="false">
      <c r="A99" s="7" t="s">
        <v>1417</v>
      </c>
      <c r="B99" s="7" t="s">
        <v>1410</v>
      </c>
      <c r="C99" s="7" t="s">
        <v>1418</v>
      </c>
      <c r="D99" s="7" t="s">
        <v>1412</v>
      </c>
      <c r="E99" s="7" t="s">
        <v>1419</v>
      </c>
    </row>
    <row r="100" customFormat="false" ht="15" hidden="false" customHeight="false" outlineLevel="0" collapsed="false">
      <c r="A100" s="7" t="s">
        <v>1420</v>
      </c>
      <c r="B100" s="7" t="s">
        <v>1410</v>
      </c>
      <c r="C100" s="7" t="s">
        <v>1421</v>
      </c>
      <c r="D100" s="7" t="s">
        <v>1412</v>
      </c>
      <c r="E100" s="7" t="s">
        <v>1422</v>
      </c>
    </row>
    <row r="101" customFormat="false" ht="15" hidden="false" customHeight="false" outlineLevel="0" collapsed="false">
      <c r="A101" s="7" t="s">
        <v>1423</v>
      </c>
      <c r="B101" s="7" t="s">
        <v>1410</v>
      </c>
      <c r="C101" s="7" t="s">
        <v>1424</v>
      </c>
      <c r="D101" s="7" t="s">
        <v>1412</v>
      </c>
      <c r="E101" s="7" t="s">
        <v>1425</v>
      </c>
    </row>
    <row r="102" customFormat="false" ht="15" hidden="false" customHeight="false" outlineLevel="0" collapsed="false">
      <c r="A102" s="7" t="s">
        <v>1426</v>
      </c>
      <c r="B102" s="7" t="s">
        <v>1427</v>
      </c>
      <c r="C102" s="7" t="s">
        <v>1428</v>
      </c>
      <c r="D102" s="7" t="s">
        <v>1429</v>
      </c>
      <c r="E102" s="7" t="s">
        <v>1430</v>
      </c>
    </row>
    <row r="103" customFormat="false" ht="15" hidden="false" customHeight="false" outlineLevel="0" collapsed="false">
      <c r="A103" s="7" t="s">
        <v>1431</v>
      </c>
      <c r="B103" s="7" t="s">
        <v>1410</v>
      </c>
      <c r="C103" s="7" t="s">
        <v>1432</v>
      </c>
      <c r="D103" s="7" t="s">
        <v>1412</v>
      </c>
      <c r="E103" s="7" t="s">
        <v>1433</v>
      </c>
    </row>
    <row r="104" customFormat="false" ht="15" hidden="false" customHeight="false" outlineLevel="0" collapsed="false">
      <c r="A104" s="7" t="s">
        <v>1434</v>
      </c>
      <c r="B104" s="7" t="s">
        <v>1410</v>
      </c>
      <c r="C104" s="7" t="s">
        <v>1435</v>
      </c>
      <c r="D104" s="7" t="s">
        <v>1412</v>
      </c>
      <c r="E104" s="7" t="s">
        <v>1436</v>
      </c>
    </row>
    <row r="105" customFormat="false" ht="15" hidden="false" customHeight="false" outlineLevel="0" collapsed="false">
      <c r="A105" s="7" t="s">
        <v>1437</v>
      </c>
      <c r="B105" s="7" t="s">
        <v>1410</v>
      </c>
      <c r="C105" s="7" t="s">
        <v>1438</v>
      </c>
      <c r="D105" s="7" t="s">
        <v>1412</v>
      </c>
      <c r="E105" s="7" t="s">
        <v>1439</v>
      </c>
    </row>
    <row r="106" customFormat="false" ht="15" hidden="false" customHeight="false" outlineLevel="0" collapsed="false">
      <c r="A106" s="7" t="s">
        <v>744</v>
      </c>
      <c r="B106" s="7" t="s">
        <v>1410</v>
      </c>
      <c r="C106" s="7" t="s">
        <v>1440</v>
      </c>
      <c r="D106" s="7" t="s">
        <v>1412</v>
      </c>
      <c r="E106" s="7" t="s">
        <v>1441</v>
      </c>
    </row>
    <row r="107" customFormat="false" ht="15" hidden="false" customHeight="false" outlineLevel="0" collapsed="false">
      <c r="A107" s="7" t="s">
        <v>1117</v>
      </c>
      <c r="B107" s="7" t="s">
        <v>1254</v>
      </c>
      <c r="C107" s="7" t="s">
        <v>1442</v>
      </c>
      <c r="D107" s="7" t="s">
        <v>1103</v>
      </c>
      <c r="E107" s="7" t="s">
        <v>1443</v>
      </c>
    </row>
    <row r="108" customFormat="false" ht="15" hidden="false" customHeight="false" outlineLevel="0" collapsed="false">
      <c r="A108" s="7" t="s">
        <v>761</v>
      </c>
      <c r="B108" s="7" t="s">
        <v>1410</v>
      </c>
      <c r="C108" s="7" t="s">
        <v>1444</v>
      </c>
      <c r="D108" s="7" t="s">
        <v>1412</v>
      </c>
      <c r="E108" s="7" t="s">
        <v>1445</v>
      </c>
    </row>
    <row r="109" customFormat="false" ht="15" hidden="false" customHeight="false" outlineLevel="0" collapsed="false">
      <c r="A109" s="7" t="s">
        <v>1446</v>
      </c>
      <c r="B109" s="7" t="s">
        <v>1447</v>
      </c>
      <c r="C109" s="7" t="s">
        <v>1448</v>
      </c>
      <c r="D109" s="7" t="s">
        <v>1131</v>
      </c>
      <c r="E109" s="7" t="s">
        <v>1449</v>
      </c>
    </row>
    <row r="110" customFormat="false" ht="15" hidden="false" customHeight="false" outlineLevel="0" collapsed="false">
      <c r="A110" s="7" t="s">
        <v>1450</v>
      </c>
      <c r="B110" s="7" t="s">
        <v>1447</v>
      </c>
      <c r="C110" s="7" t="s">
        <v>1451</v>
      </c>
      <c r="D110" s="7" t="s">
        <v>1447</v>
      </c>
      <c r="E110" s="7" t="s">
        <v>1452</v>
      </c>
    </row>
    <row r="111" customFormat="false" ht="15" hidden="false" customHeight="false" outlineLevel="0" collapsed="false">
      <c r="A111" s="7" t="s">
        <v>1128</v>
      </c>
      <c r="B111" s="7" t="s">
        <v>1254</v>
      </c>
      <c r="C111" s="7" t="s">
        <v>1453</v>
      </c>
      <c r="D111" s="7" t="s">
        <v>1447</v>
      </c>
      <c r="E111" s="7" t="s">
        <v>1454</v>
      </c>
    </row>
    <row r="112" customFormat="false" ht="15" hidden="false" customHeight="false" outlineLevel="0" collapsed="false">
      <c r="A112" s="7" t="s">
        <v>1455</v>
      </c>
      <c r="B112" s="7" t="s">
        <v>1254</v>
      </c>
      <c r="C112" s="7" t="s">
        <v>1456</v>
      </c>
      <c r="D112" s="7" t="s">
        <v>1447</v>
      </c>
      <c r="E112" s="7" t="s">
        <v>1457</v>
      </c>
    </row>
    <row r="113" customFormat="false" ht="15" hidden="false" customHeight="false" outlineLevel="0" collapsed="false">
      <c r="A113" s="8" t="s">
        <v>1458</v>
      </c>
      <c r="B113" s="7" t="s">
        <v>1254</v>
      </c>
      <c r="C113" s="7" t="s">
        <v>1459</v>
      </c>
      <c r="D113" s="7" t="s">
        <v>1447</v>
      </c>
      <c r="E113" s="7" t="s">
        <v>1460</v>
      </c>
    </row>
    <row r="114" customFormat="false" ht="15" hidden="false" customHeight="false" outlineLevel="0" collapsed="false">
      <c r="A114" s="8" t="s">
        <v>1461</v>
      </c>
      <c r="B114" s="7" t="s">
        <v>1254</v>
      </c>
      <c r="C114" s="7" t="s">
        <v>1462</v>
      </c>
      <c r="D114" s="7" t="s">
        <v>1463</v>
      </c>
      <c r="E114" s="7" t="s">
        <v>1464</v>
      </c>
    </row>
    <row r="115" customFormat="false" ht="15" hidden="false" customHeight="false" outlineLevel="0" collapsed="false">
      <c r="A115" s="7" t="s">
        <v>1132</v>
      </c>
      <c r="B115" s="7" t="s">
        <v>1254</v>
      </c>
      <c r="C115" s="7" t="s">
        <v>1465</v>
      </c>
      <c r="D115" s="7" t="s">
        <v>1447</v>
      </c>
      <c r="E115" s="7" t="s">
        <v>1466</v>
      </c>
    </row>
    <row r="116" customFormat="false" ht="15" hidden="false" customHeight="false" outlineLevel="0" collapsed="false">
      <c r="A116" s="8" t="s">
        <v>789</v>
      </c>
      <c r="B116" s="7" t="s">
        <v>1447</v>
      </c>
      <c r="C116" s="7" t="s">
        <v>1467</v>
      </c>
      <c r="D116" s="7" t="s">
        <v>1447</v>
      </c>
      <c r="E116" s="7" t="s">
        <v>1133</v>
      </c>
    </row>
    <row r="117" customFormat="false" ht="15" hidden="false" customHeight="false" outlineLevel="0" collapsed="false">
      <c r="A117" s="7" t="s">
        <v>800</v>
      </c>
      <c r="B117" s="7" t="s">
        <v>1447</v>
      </c>
      <c r="C117" s="7" t="s">
        <v>1468</v>
      </c>
      <c r="D117" s="7" t="s">
        <v>1447</v>
      </c>
      <c r="E117" s="7" t="s">
        <v>1469</v>
      </c>
    </row>
    <row r="118" customFormat="false" ht="15" hidden="false" customHeight="false" outlineLevel="0" collapsed="false">
      <c r="A118" s="7" t="s">
        <v>1140</v>
      </c>
      <c r="B118" s="7" t="s">
        <v>1254</v>
      </c>
      <c r="C118" s="7" t="s">
        <v>1470</v>
      </c>
      <c r="D118" s="7" t="s">
        <v>1447</v>
      </c>
      <c r="E118" s="7" t="s">
        <v>1471</v>
      </c>
    </row>
    <row r="119" customFormat="false" ht="15" hidden="false" customHeight="false" outlineLevel="0" collapsed="false">
      <c r="A119" s="7" t="s">
        <v>1472</v>
      </c>
      <c r="B119" s="7" t="s">
        <v>1473</v>
      </c>
      <c r="C119" s="7" t="s">
        <v>1474</v>
      </c>
      <c r="D119" s="7" t="s">
        <v>1475</v>
      </c>
      <c r="E119" s="7" t="s">
        <v>1476</v>
      </c>
    </row>
    <row r="120" customFormat="false" ht="15" hidden="false" customHeight="false" outlineLevel="0" collapsed="false">
      <c r="A120" s="8" t="s">
        <v>1477</v>
      </c>
      <c r="B120" s="7" t="s">
        <v>1473</v>
      </c>
      <c r="C120" s="7" t="s">
        <v>1478</v>
      </c>
      <c r="D120" s="7" t="s">
        <v>1473</v>
      </c>
      <c r="E120" s="7" t="s">
        <v>1479</v>
      </c>
    </row>
    <row r="121" customFormat="false" ht="15" hidden="false" customHeight="false" outlineLevel="0" collapsed="false">
      <c r="A121" s="7" t="s">
        <v>1480</v>
      </c>
      <c r="B121" s="7" t="s">
        <v>1473</v>
      </c>
      <c r="C121" s="7" t="s">
        <v>1481</v>
      </c>
      <c r="D121" s="7" t="s">
        <v>1475</v>
      </c>
      <c r="E121" s="7" t="s">
        <v>1482</v>
      </c>
    </row>
    <row r="122" customFormat="false" ht="15" hidden="false" customHeight="false" outlineLevel="0" collapsed="false">
      <c r="A122" s="7" t="s">
        <v>1483</v>
      </c>
      <c r="B122" s="7" t="s">
        <v>1473</v>
      </c>
      <c r="C122" s="7" t="s">
        <v>1484</v>
      </c>
      <c r="D122" s="7" t="s">
        <v>1473</v>
      </c>
      <c r="E122" s="7" t="s">
        <v>1485</v>
      </c>
    </row>
    <row r="123" customFormat="false" ht="15" hidden="false" customHeight="false" outlineLevel="0" collapsed="false">
      <c r="A123" s="7" t="s">
        <v>824</v>
      </c>
      <c r="B123" s="7" t="s">
        <v>1473</v>
      </c>
      <c r="C123" s="8" t="s">
        <v>1486</v>
      </c>
      <c r="D123" s="7" t="s">
        <v>1475</v>
      </c>
      <c r="E123" s="7" t="s">
        <v>1487</v>
      </c>
    </row>
    <row r="124" customFormat="false" ht="15" hidden="false" customHeight="false" outlineLevel="0" collapsed="false">
      <c r="A124" s="8" t="s">
        <v>1488</v>
      </c>
      <c r="B124" s="7" t="s">
        <v>1473</v>
      </c>
      <c r="C124" s="7" t="s">
        <v>1489</v>
      </c>
      <c r="D124" s="7" t="s">
        <v>1473</v>
      </c>
      <c r="E124" s="7" t="s">
        <v>1490</v>
      </c>
    </row>
    <row r="125" customFormat="false" ht="15" hidden="false" customHeight="false" outlineLevel="0" collapsed="false">
      <c r="A125" s="7" t="s">
        <v>1491</v>
      </c>
      <c r="B125" s="7" t="s">
        <v>1473</v>
      </c>
      <c r="C125" s="7" t="s">
        <v>1492</v>
      </c>
      <c r="D125" s="7" t="s">
        <v>1473</v>
      </c>
      <c r="E125" s="7" t="s">
        <v>1493</v>
      </c>
    </row>
    <row r="126" customFormat="false" ht="15" hidden="false" customHeight="false" outlineLevel="0" collapsed="false">
      <c r="A126" s="7" t="s">
        <v>1151</v>
      </c>
      <c r="B126" s="7" t="s">
        <v>1473</v>
      </c>
      <c r="C126" s="7" t="s">
        <v>1494</v>
      </c>
      <c r="D126" s="7" t="s">
        <v>1495</v>
      </c>
      <c r="E126" s="7" t="s">
        <v>1496</v>
      </c>
    </row>
    <row r="127" customFormat="false" ht="15" hidden="false" customHeight="false" outlineLevel="0" collapsed="false">
      <c r="A127" s="7" t="s">
        <v>840</v>
      </c>
      <c r="B127" s="7" t="s">
        <v>1163</v>
      </c>
      <c r="C127" s="7" t="s">
        <v>1497</v>
      </c>
      <c r="D127" s="7" t="s">
        <v>1498</v>
      </c>
      <c r="E127" s="7" t="s">
        <v>1499</v>
      </c>
    </row>
  </sheetData>
  <autoFilter ref="A1:E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4"/>
    <col collapsed="false" customWidth="true" hidden="false" outlineLevel="0" max="3" min="3" style="0" width="20"/>
  </cols>
  <sheetData>
    <row r="1" customFormat="false" ht="30" hidden="false" customHeight="true" outlineLevel="0" collapsed="false">
      <c r="A1" s="5" t="s">
        <v>1500</v>
      </c>
      <c r="B1" s="5" t="s">
        <v>1501</v>
      </c>
      <c r="C1" s="5" t="s">
        <v>1160</v>
      </c>
    </row>
    <row r="2" customFormat="false" ht="15" hidden="false" customHeight="false" outlineLevel="0" collapsed="false">
      <c r="A2" s="7" t="s">
        <v>1502</v>
      </c>
      <c r="B2" s="7" t="s">
        <v>1503</v>
      </c>
      <c r="C2" s="7" t="s">
        <v>1165</v>
      </c>
    </row>
    <row r="3" customFormat="false" ht="15" hidden="false" customHeight="false" outlineLevel="0" collapsed="false">
      <c r="A3" s="8" t="s">
        <v>1504</v>
      </c>
      <c r="B3" s="7" t="s">
        <v>1505</v>
      </c>
      <c r="C3" s="7" t="s">
        <v>1498</v>
      </c>
    </row>
    <row r="4" customFormat="false" ht="15" hidden="false" customHeight="false" outlineLevel="0" collapsed="false">
      <c r="A4" s="7" t="s">
        <v>1506</v>
      </c>
      <c r="B4" s="7" t="s">
        <v>1507</v>
      </c>
      <c r="C4" s="7" t="s">
        <v>1508</v>
      </c>
    </row>
    <row r="5" customFormat="false" ht="15" hidden="false" customHeight="false" outlineLevel="0" collapsed="false">
      <c r="A5" s="7" t="s">
        <v>1509</v>
      </c>
      <c r="B5" s="7" t="s">
        <v>1194</v>
      </c>
      <c r="C5" s="7" t="s">
        <v>902</v>
      </c>
    </row>
    <row r="6" customFormat="false" ht="15" hidden="false" customHeight="false" outlineLevel="0" collapsed="false">
      <c r="A6" s="7" t="s">
        <v>1510</v>
      </c>
      <c r="B6" s="7" t="s">
        <v>1511</v>
      </c>
      <c r="C6" s="7" t="s">
        <v>902</v>
      </c>
    </row>
    <row r="7" customFormat="false" ht="15" hidden="false" customHeight="false" outlineLevel="0" collapsed="false">
      <c r="A7" s="7" t="s">
        <v>1512</v>
      </c>
      <c r="B7" s="7" t="s">
        <v>1513</v>
      </c>
      <c r="C7" s="7" t="s">
        <v>1199</v>
      </c>
    </row>
    <row r="8" customFormat="false" ht="15" hidden="false" customHeight="false" outlineLevel="0" collapsed="false">
      <c r="A8" s="7" t="s">
        <v>1514</v>
      </c>
      <c r="B8" s="7" t="s">
        <v>1515</v>
      </c>
      <c r="C8" s="7" t="s">
        <v>1215</v>
      </c>
    </row>
    <row r="9" customFormat="false" ht="15" hidden="false" customHeight="false" outlineLevel="0" collapsed="false">
      <c r="A9" s="7" t="s">
        <v>1516</v>
      </c>
      <c r="B9" s="7" t="s">
        <v>1517</v>
      </c>
      <c r="C9" s="7" t="s">
        <v>965</v>
      </c>
    </row>
    <row r="10" customFormat="false" ht="15" hidden="false" customHeight="false" outlineLevel="0" collapsed="false">
      <c r="A10" s="7" t="s">
        <v>1279</v>
      </c>
      <c r="B10" s="7" t="s">
        <v>1518</v>
      </c>
      <c r="C10" s="7" t="s">
        <v>965</v>
      </c>
    </row>
    <row r="11" customFormat="false" ht="15" hidden="false" customHeight="false" outlineLevel="0" collapsed="false">
      <c r="A11" s="8" t="s">
        <v>1301</v>
      </c>
      <c r="B11" s="7" t="s">
        <v>988</v>
      </c>
      <c r="C11" s="7" t="s">
        <v>965</v>
      </c>
    </row>
    <row r="12" customFormat="false" ht="15" hidden="false" customHeight="false" outlineLevel="0" collapsed="false">
      <c r="A12" s="7" t="s">
        <v>1306</v>
      </c>
      <c r="B12" s="7" t="s">
        <v>1519</v>
      </c>
      <c r="C12" s="7" t="s">
        <v>1307</v>
      </c>
    </row>
    <row r="13" customFormat="false" ht="15" hidden="false" customHeight="false" outlineLevel="0" collapsed="false">
      <c r="A13" s="8" t="s">
        <v>1520</v>
      </c>
      <c r="B13" s="7" t="s">
        <v>1521</v>
      </c>
      <c r="C13" s="7" t="s">
        <v>1307</v>
      </c>
    </row>
    <row r="14" customFormat="false" ht="15" hidden="false" customHeight="false" outlineLevel="0" collapsed="false">
      <c r="A14" s="7" t="s">
        <v>1321</v>
      </c>
      <c r="B14" s="7" t="s">
        <v>1522</v>
      </c>
      <c r="C14" s="7" t="s">
        <v>1322</v>
      </c>
    </row>
    <row r="15" customFormat="false" ht="15" hidden="false" customHeight="false" outlineLevel="0" collapsed="false">
      <c r="A15" s="7" t="s">
        <v>1523</v>
      </c>
      <c r="B15" s="7" t="s">
        <v>1524</v>
      </c>
      <c r="C15" s="7" t="s">
        <v>1412</v>
      </c>
    </row>
    <row r="16" customFormat="false" ht="15" hidden="false" customHeight="false" outlineLevel="0" collapsed="false">
      <c r="A16" s="7" t="s">
        <v>1525</v>
      </c>
      <c r="B16" s="7" t="s">
        <v>1526</v>
      </c>
      <c r="C16" s="7" t="s">
        <v>1391</v>
      </c>
    </row>
    <row r="17" customFormat="false" ht="15" hidden="false" customHeight="false" outlineLevel="0" collapsed="false">
      <c r="A17" s="7" t="s">
        <v>1527</v>
      </c>
      <c r="B17" s="7" t="s">
        <v>1528</v>
      </c>
      <c r="C17" s="7" t="s">
        <v>1223</v>
      </c>
    </row>
    <row r="18" customFormat="false" ht="15" hidden="false" customHeight="false" outlineLevel="0" collapsed="false">
      <c r="A18" s="7" t="s">
        <v>1529</v>
      </c>
      <c r="B18" s="7" t="s">
        <v>1530</v>
      </c>
      <c r="C18" s="7" t="s">
        <v>1226</v>
      </c>
    </row>
    <row r="19" customFormat="false" ht="15" hidden="false" customHeight="false" outlineLevel="0" collapsed="false">
      <c r="A19" s="7" t="s">
        <v>1531</v>
      </c>
      <c r="B19" s="7" t="s">
        <v>1532</v>
      </c>
      <c r="C19" s="7" t="s">
        <v>902</v>
      </c>
    </row>
    <row r="20" customFormat="false" ht="15" hidden="false" customHeight="false" outlineLevel="0" collapsed="false">
      <c r="A20" s="7" t="s">
        <v>1533</v>
      </c>
      <c r="B20" s="7" t="s">
        <v>1534</v>
      </c>
      <c r="C20" s="7" t="s">
        <v>1231</v>
      </c>
    </row>
    <row r="21" customFormat="false" ht="15" hidden="false" customHeight="false" outlineLevel="0" collapsed="false">
      <c r="A21" s="7" t="s">
        <v>1535</v>
      </c>
      <c r="B21" s="7" t="s">
        <v>1536</v>
      </c>
      <c r="C21" s="7" t="s">
        <v>1537</v>
      </c>
    </row>
    <row r="22" customFormat="false" ht="15" hidden="false" customHeight="false" outlineLevel="0" collapsed="false">
      <c r="A22" s="7" t="s">
        <v>1538</v>
      </c>
      <c r="B22" s="7" t="s">
        <v>1539</v>
      </c>
      <c r="C22" s="7" t="s">
        <v>1447</v>
      </c>
    </row>
    <row r="23" customFormat="false" ht="15" hidden="false" customHeight="false" outlineLevel="0" collapsed="false">
      <c r="A23" s="7" t="s">
        <v>1540</v>
      </c>
      <c r="B23" s="7" t="s">
        <v>1541</v>
      </c>
      <c r="C23" s="7" t="s">
        <v>1429</v>
      </c>
    </row>
    <row r="24" customFormat="false" ht="15" hidden="false" customHeight="false" outlineLevel="0" collapsed="false">
      <c r="A24" s="7" t="s">
        <v>1542</v>
      </c>
      <c r="B24" s="7" t="s">
        <v>1543</v>
      </c>
      <c r="C24" s="7" t="s">
        <v>1189</v>
      </c>
    </row>
    <row r="25" customFormat="false" ht="15" hidden="false" customHeight="false" outlineLevel="0" collapsed="false">
      <c r="A25" s="7" t="s">
        <v>1544</v>
      </c>
      <c r="B25" s="7" t="s">
        <v>1238</v>
      </c>
      <c r="C25" s="7" t="s">
        <v>902</v>
      </c>
    </row>
  </sheetData>
  <autoFilter ref="A1:C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2026-09-22T12:21:08Z</dcterms:created>
  <dc:creator>openpyxl</dc:creator>
  <dc:description/>
  <dc:language>en-US</dc:language>
  <cp:lastModifiedBy/>
  <dcterms:modified xsi:type="dcterms:W3CDTF">2026-09-22T12:21:08Z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